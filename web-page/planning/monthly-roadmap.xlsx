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3bf499646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roadmap" sheetId="1" r:id="R12880c9378af47f0"/>
    <x:sheet xmlns:r="http://schemas.openxmlformats.org/officeDocument/2006/relationships" name="Model" sheetId="2" r:id="Rd022cc05a6214d7a"/>
    <x:sheet xmlns:r="http://schemas.openxmlformats.org/officeDocument/2006/relationships" name="Risk case" sheetId="3" r:id="Red603a37ec19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;[Red]($#,##0)"/>
    <x:numFmt numFmtId="201" formatCode="$#,##0"/>
    <x:numFmt numFmtId="202" formatCode="0"/>
  </x:numFmts>
  <x:fonts count="5">
    <x:font>
      <x:sz val="11"/>
      <x:name val="Carlito"/>
    </x:font>
    <x:font>
      <x:sz val="11"/>
      <x:color rgb="FF122C4C"/>
      <x:name val="Arial"/>
    </x:font>
    <x:font>
      <x:b/>
      <x:sz val="18"/>
      <x:color rgb="FFFFFFFF"/>
      <x:name val="Arial"/>
    </x:font>
    <x:font>
      <x:b/>
      <x:sz val="11"/>
      <x:color rgb="FFFFFFFF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2C4C"/>
      </x:patternFill>
    </x:fill>
    <x:fill>
      <x:patternFill patternType="solid">
        <x:fgColor rgb="FFFFF4DC"/>
      </x:patternFill>
    </x:fill>
    <x:fill>
      <x:patternFill patternType="solid">
        <x:fgColor rgb="FF076E93"/>
      </x:patternFill>
    </x:fill>
    <x:fill>
      <x:patternFill patternType="solid">
        <x:fgColor rgb="FFC54B4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4" borderId="0" xfId="0" applyNumberFormat="1" applyFont="1" applyFill="1" applyBorder="1"/>
    <x:xf numFmtId="20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c4a4bb7e954fc9" /><Relationship Type="http://schemas.openxmlformats.org/officeDocument/2006/relationships/theme" Target="/xl/theme/theme1.xml" Id="R484b72a28d9146c2" /><Relationship Type="http://schemas.openxmlformats.org/officeDocument/2006/relationships/sharedStrings" Target="/xl/sharedStrings.xml" Id="Ra94b80e595494eb7" /><Relationship Type="http://schemas.openxmlformats.org/officeDocument/2006/relationships/worksheet" Target="/xl/worksheets/sheet1.xml" Id="R12880c9378af47f0" /><Relationship Type="http://schemas.openxmlformats.org/officeDocument/2006/relationships/worksheet" Target="/xl/worksheets/sheet2.xml" Id="Rd022cc05a6214d7a" /><Relationship Type="http://schemas.openxmlformats.org/officeDocument/2006/relationships/worksheet" Target="/xl/worksheets/sheet3.xml" Id="Red603a37ec194f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76E93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43" hidden="0" customWidth="1"/>
    <x:col min="4" max="4" width="43" hidden="0" customWidth="1"/>
    <x:col min="5" max="5" width="43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3" t="str">
        <x:v>CaseBridge | 2027–2031 monthly roadmap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4" t="str">
        <x:v>Illustrative targets, not actual results or signed lab contracts. USD before tax and financing.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6" t="str">
        <x:v>Year</x:v>
      </x:c>
      <x:c r="B4" s="6" t="str">
        <x:v>Revenue</x:v>
      </x:c>
      <x:c r="C4" s="6" t="str">
        <x:v>Expenses</x:v>
      </x:c>
      <x:c r="D4" s="6" t="str">
        <x:v>Lab sales</x:v>
      </x:c>
      <x:c r="E4" s="6" t="str">
        <x:v>Year-end team</x:v>
      </x:c>
      <x:c r="F4" s="1"/>
      <x:c r="G4" s="1"/>
      <x:c r="H4" s="1"/>
      <x:c r="I4" s="1"/>
      <x:c r="J4" s="1"/>
      <x:c r="K4" s="1"/>
      <x:c r="L4" s="1"/>
      <x:c r="M4" s="1"/>
    </x:row>
    <x:row r="5">
      <x:c r="A5" s="1" t="n">
        <x:v>2027</x:v>
      </x:c>
      <x:c r="B5" s="12" t="n">
        <x:f>SUM(K11:K22)</x:f>
        <x:v>100000</x:v>
      </x:c>
      <x:c r="C5" s="12" t="n">
        <x:f>SUM(L11:L22)</x:f>
        <x:v>470750</x:v>
      </x:c>
      <x:c r="D5" s="12" t="n">
        <x:f>SUM(J11:J22)</x:f>
        <x:v>25000</x:v>
      </x:c>
      <x:c r="E5" s="1" t="n">
        <x:f>F22</x:f>
        <x:v>10</x:v>
      </x:c>
      <x:c r="F5" s="1"/>
      <x:c r="G5" s="1"/>
      <x:c r="H5" s="1"/>
      <x:c r="I5" s="1"/>
      <x:c r="J5" s="1"/>
      <x:c r="K5" s="1"/>
      <x:c r="L5" s="1"/>
      <x:c r="M5" s="1"/>
    </x:row>
    <x:row r="6">
      <x:c r="A6" s="1" t="n">
        <x:v>2028</x:v>
      </x:c>
      <x:c r="B6" s="12" t="n">
        <x:f>SUM(K23:K34)</x:f>
        <x:v>600000</x:v>
      </x:c>
      <x:c r="C6" s="12" t="n">
        <x:f>SUM(L23:L34)</x:f>
        <x:v>1172000</x:v>
      </x:c>
      <x:c r="D6" s="12" t="n">
        <x:f>SUM(J23:J34)</x:f>
        <x:v>300000</x:v>
      </x:c>
      <x:c r="E6" s="1" t="n">
        <x:f>F34</x:f>
        <x:v>17</x:v>
      </x:c>
      <x:c r="F6" s="1"/>
      <x:c r="G6" s="1"/>
      <x:c r="H6" s="1"/>
      <x:c r="I6" s="1"/>
      <x:c r="J6" s="1"/>
      <x:c r="K6" s="1"/>
      <x:c r="L6" s="1"/>
      <x:c r="M6" s="1"/>
    </x:row>
    <x:row r="7">
      <x:c r="A7" s="1" t="n">
        <x:v>2029</x:v>
      </x:c>
      <x:c r="B7" s="12" t="n">
        <x:f>SUM(K35:K46)</x:f>
        <x:v>4000000</x:v>
      </x:c>
      <x:c r="C7" s="12" t="n">
        <x:f>SUM(L35:L46)</x:f>
        <x:v>3812000</x:v>
      </x:c>
      <x:c r="D7" s="12" t="n">
        <x:f>SUM(J35:J46)</x:f>
        <x:v>3000000</x:v>
      </x:c>
      <x:c r="E7" s="1" t="n">
        <x:f>F46</x:f>
        <x:v>30</x:v>
      </x:c>
      <x:c r="F7" s="1"/>
      <x:c r="G7" s="1"/>
      <x:c r="H7" s="1"/>
      <x:c r="I7" s="1"/>
      <x:c r="J7" s="1"/>
      <x:c r="K7" s="1"/>
      <x:c r="L7" s="1"/>
      <x:c r="M7" s="1"/>
    </x:row>
    <x:row r="8">
      <x:c r="A8" s="1" t="n">
        <x:v>2030</x:v>
      </x:c>
      <x:c r="B8" s="12" t="n">
        <x:f>SUM(K47:K58)</x:f>
        <x:v>15000000</x:v>
      </x:c>
      <x:c r="C8" s="12" t="n">
        <x:f>SUM(L47:L58)</x:f>
        <x:v>10894000</x:v>
      </x:c>
      <x:c r="D8" s="12" t="n">
        <x:f>SUM(J47:J58)</x:f>
        <x:v>11000000</x:v>
      </x:c>
      <x:c r="E8" s="1" t="n">
        <x:f>F58</x:f>
        <x:v>48</x:v>
      </x:c>
      <x:c r="F8" s="1"/>
      <x:c r="G8" s="1"/>
      <x:c r="H8" s="1"/>
      <x:c r="I8" s="1"/>
      <x:c r="J8" s="1"/>
      <x:c r="K8" s="1"/>
      <x:c r="L8" s="1"/>
      <x:c r="M8" s="1"/>
    </x:row>
    <x:row r="9">
      <x:c r="A9" s="1" t="n">
        <x:v>2031</x:v>
      </x:c>
      <x:c r="B9" s="12" t="n">
        <x:f>SUM(K59:K70)</x:f>
        <x:v>40000000</x:v>
      </x:c>
      <x:c r="C9" s="12" t="n">
        <x:f>SUM(L59:L70)</x:f>
        <x:v>26807000</x:v>
      </x:c>
      <x:c r="D9" s="12" t="n">
        <x:f>SUM(J59:J70)</x:f>
        <x:v>30000000</x:v>
      </x:c>
      <x:c r="E9" s="1" t="n">
        <x:f>F70</x:f>
        <x:v>75</x:v>
      </x:c>
      <x:c r="F9" s="1"/>
      <x:c r="G9" s="1"/>
      <x:c r="H9" s="1"/>
      <x:c r="I9" s="1"/>
      <x:c r="J9" s="1"/>
      <x:c r="K9" s="1"/>
      <x:c r="L9" s="1"/>
      <x:c r="M9" s="1"/>
    </x:row>
    <x:row r="10" ht="36" customHeight="1">
      <x:c r="A10" s="8" t="str">
        <x:v>Month</x:v>
      </x:c>
      <x:c r="B10" s="8" t="str">
        <x:v>Phase</x:v>
      </x:c>
      <x:c r="C10" s="8" t="str">
        <x:v>Product &amp; technology</x:v>
      </x:c>
      <x:c r="D10" s="8" t="str">
        <x:v>Management &amp; market</x:v>
      </x:c>
      <x:c r="E10" s="8" t="str">
        <x:v>Labs &amp; licensing</x:v>
      </x:c>
      <x:c r="F10" s="8" t="str">
        <x:v>Team</x:v>
      </x:c>
      <x:c r="G10" s="8" t="str">
        <x:v>Firms</x:v>
      </x:c>
      <x:c r="H10" s="8" t="str">
        <x:v>Companies</x:v>
      </x:c>
      <x:c r="I10" s="8" t="str">
        <x:v>License contracts</x:v>
      </x:c>
      <x:c r="J10" s="8" t="str">
        <x:v>Lab sales</x:v>
      </x:c>
      <x:c r="K10" s="8" t="str">
        <x:v>Revenue</x:v>
      </x:c>
      <x:c r="L10" s="8" t="str">
        <x:v>Expenses</x:v>
      </x:c>
      <x:c r="M10" s="8" t="str">
        <x:v>Result</x:v>
      </x:c>
    </x:row>
    <x:row r="11" ht="63" customHeight="1">
      <x:c r="A11" s="1" t="str">
        <x:v>2027-01</x:v>
      </x:c>
      <x:c r="B11" s="1" t="str">
        <x:v>Turkey validation</x:v>
      </x:c>
      <x:c r="C11" s="11" t="str">
        <x:v>Interview the three POC firms; map their intake flow.</x:v>
      </x:c>
      <x:c r="D11" s="11" t="str">
        <x:v>Set a weekly founder and legal review cadence.</x:v>
      </x:c>
      <x:c r="E11" s="11" t="str">
        <x:v>Define consent and data ownership checklist.</x:v>
      </x:c>
      <x:c r="F11" s="1" t="n">
        <x:v>4</x:v>
      </x:c>
      <x:c r="G11" s="1" t="n">
        <x:v>5</x:v>
      </x:c>
      <x:c r="H11" s="1" t="n">
        <x:v>0</x:v>
      </x:c>
      <x:c r="I11" s="1" t="n">
        <x:v>0</x:v>
      </x:c>
      <x:c r="J11" s="12" t="n">
        <x:f>Model!M2</x:f>
        <x:v>0</x:v>
      </x:c>
      <x:c r="K11" s="12" t="n">
        <x:f>Model!O2</x:f>
        <x:v>500</x:v>
      </x:c>
      <x:c r="L11" s="12" t="n">
        <x:f>Model!U2</x:f>
        <x:v>24628</x:v>
      </x:c>
      <x:c r="M11" s="12" t="n">
        <x:f>Model!V2</x:f>
        <x:v>-24128</x:v>
      </x:c>
    </x:row>
    <x:row r="12" ht="63" customHeight="1">
      <x:c r="A12" s="1" t="str">
        <x:v>2027-02</x:v>
      </x:c>
      <x:c r="B12" s="1" t="str">
        <x:v>Turkey validation</x:v>
      </x:c>
      <x:c r="C12" s="11" t="str">
        <x:v>Prototype first-meeting prompts and missing-fact review.</x:v>
      </x:c>
      <x:c r="D12" s="11" t="str">
        <x:v>Agree pilot success measures with each firm.</x:v>
      </x:c>
      <x:c r="E12" s="11" t="str">
        <x:v>Approach Turkish legal NLP research groups.</x:v>
      </x:c>
      <x:c r="F12" s="1" t="n">
        <x:v>4</x:v>
      </x:c>
      <x:c r="G12" s="1" t="n">
        <x:v>12</x:v>
      </x:c>
      <x:c r="H12" s="1" t="n">
        <x:v>0</x:v>
      </x:c>
      <x:c r="I12" s="1" t="n">
        <x:v>0</x:v>
      </x:c>
      <x:c r="J12" s="12" t="n">
        <x:f>Model!M3</x:f>
        <x:v>0</x:v>
      </x:c>
      <x:c r="K12" s="12" t="n">
        <x:f>Model!O3</x:f>
        <x:v>1700</x:v>
      </x:c>
      <x:c r="L12" s="12" t="n">
        <x:f>Model!U3</x:f>
        <x:v>25358</x:v>
      </x:c>
      <x:c r="M12" s="12" t="n">
        <x:f>Model!V3</x:f>
        <x:v>-23658</x:v>
      </x:c>
    </x:row>
    <x:row r="13" ht="63" customHeight="1">
      <x:c r="A13" s="1" t="str">
        <x:v>2027-03</x:v>
      </x:c>
      <x:c r="B13" s="1" t="str">
        <x:v>Turkey validation</x:v>
      </x:c>
      <x:c r="C13" s="11" t="str">
        <x:v>Add case timeline and document intake.</x:v>
      </x:c>
      <x:c r="D13" s="11" t="str">
        <x:v>Start paid conversion conversations; track activation.</x:v>
      </x:c>
      <x:c r="E13" s="11" t="str">
        <x:v>Design synthetic scenario and annotation specification.</x:v>
      </x:c>
      <x:c r="F13" s="1" t="n">
        <x:v>5</x:v>
      </x:c>
      <x:c r="G13" s="1" t="n">
        <x:v>20</x:v>
      </x:c>
      <x:c r="H13" s="1" t="n">
        <x:v>0</x:v>
      </x:c>
      <x:c r="I13" s="1" t="n">
        <x:v>0</x:v>
      </x:c>
      <x:c r="J13" s="12" t="n">
        <x:f>Model!M4</x:f>
        <x:v>0</x:v>
      </x:c>
      <x:c r="K13" s="12" t="n">
        <x:f>Model!O4</x:f>
        <x:v>2500</x:v>
      </x:c>
      <x:c r="L13" s="12" t="n">
        <x:f>Model!U4</x:f>
        <x:v>29621</x:v>
      </x:c>
      <x:c r="M13" s="12" t="n">
        <x:f>Model!V4</x:f>
        <x:v>-27121</x:v>
      </x:c>
    </x:row>
    <x:row r="14" ht="63" customHeight="1">
      <x:c r="A14" s="1" t="str">
        <x:v>2027-04</x:v>
      </x:c>
      <x:c r="B14" s="1" t="str">
        <x:v>Turkey validation</x:v>
      </x:c>
      <x:c r="C14" s="11" t="str">
        <x:v>Test evidence extraction and source references.</x:v>
      </x:c>
      <x:c r="D14" s="11" t="str">
        <x:v>Publish a pilot feedback and issue log.</x:v>
      </x:c>
      <x:c r="E14" s="11" t="str">
        <x:v>Recruit an independent legal evaluation partner.</x:v>
      </x:c>
      <x:c r="F14" s="1" t="n">
        <x:v>5</x:v>
      </x:c>
      <x:c r="G14" s="1" t="n">
        <x:v>28</x:v>
      </x:c>
      <x:c r="H14" s="1" t="n">
        <x:v>0</x:v>
      </x:c>
      <x:c r="I14" s="1" t="n">
        <x:v>0</x:v>
      </x:c>
      <x:c r="J14" s="12" t="n">
        <x:f>Model!M5</x:f>
        <x:v>0</x:v>
      </x:c>
      <x:c r="K14" s="12" t="n">
        <x:f>Model!O5</x:f>
        <x:v>3300</x:v>
      </x:c>
      <x:c r="L14" s="12" t="n">
        <x:f>Model!U5</x:f>
        <x:v>30341</x:v>
      </x:c>
      <x:c r="M14" s="12" t="n">
        <x:f>Model!V5</x:f>
        <x:v>-27041</x:v>
      </x:c>
    </x:row>
    <x:row r="15" ht="63" customHeight="1">
      <x:c r="A15" s="1" t="str">
        <x:v>2027-05</x:v>
      </x:c>
      <x:c r="B15" s="1" t="str">
        <x:v>Turkey validation</x:v>
      </x:c>
      <x:c r="C15" s="11" t="str">
        <x:v>Improve lawyer approval steps and audit trail.</x:v>
      </x:c>
      <x:c r="D15" s="11" t="str">
        <x:v>Train first customer-support owner.</x:v>
      </x:c>
      <x:c r="E15" s="11" t="str">
        <x:v>Build rights-cleared synthetic sample set.</x:v>
      </x:c>
      <x:c r="F15" s="1" t="n">
        <x:v>6</x:v>
      </x:c>
      <x:c r="G15" s="1" t="n">
        <x:v>36</x:v>
      </x:c>
      <x:c r="H15" s="1" t="n">
        <x:v>0</x:v>
      </x:c>
      <x:c r="I15" s="1" t="n">
        <x:v>0</x:v>
      </x:c>
      <x:c r="J15" s="12" t="n">
        <x:f>Model!M6</x:f>
        <x:v>0</x:v>
      </x:c>
      <x:c r="K15" s="12" t="n">
        <x:f>Model!O6</x:f>
        <x:v>4600</x:v>
      </x:c>
      <x:c r="L15" s="12" t="n">
        <x:f>Model!U6</x:f>
        <x:v>34706</x:v>
      </x:c>
      <x:c r="M15" s="12" t="n">
        <x:f>Model!V6</x:f>
        <x:v>-30106</x:v>
      </x:c>
    </x:row>
    <x:row r="16" ht="63" customHeight="1">
      <x:c r="A16" s="1" t="str">
        <x:v>2027-06</x:v>
      </x:c>
      <x:c r="B16" s="1" t="str">
        <x:v>Turkey validation</x:v>
      </x:c>
      <x:c r="C16" s="11" t="str">
        <x:v>Launch controlled hearing rehearsal beta.</x:v>
      </x:c>
      <x:c r="D16" s="11" t="str">
        <x:v>Review retention, support burden and pricing.</x:v>
      </x:c>
      <x:c r="E16" s="11" t="str">
        <x:v>Pilot annotation quality checks with a Turkish lab.</x:v>
      </x:c>
      <x:c r="F16" s="1" t="n">
        <x:v>6</x:v>
      </x:c>
      <x:c r="G16" s="1" t="n">
        <x:v>44</x:v>
      </x:c>
      <x:c r="H16" s="1" t="n">
        <x:v>0</x:v>
      </x:c>
      <x:c r="I16" s="1" t="n">
        <x:v>0</x:v>
      </x:c>
      <x:c r="J16" s="12" t="n">
        <x:f>Model!M7</x:f>
        <x:v>0</x:v>
      </x:c>
      <x:c r="K16" s="12" t="n">
        <x:f>Model!O7</x:f>
        <x:v>5400</x:v>
      </x:c>
      <x:c r="L16" s="12" t="n">
        <x:f>Model!U7</x:f>
        <x:v>35426</x:v>
      </x:c>
      <x:c r="M16" s="12" t="n">
        <x:f>Model!V7</x:f>
        <x:v>-30026</x:v>
      </x:c>
    </x:row>
    <x:row r="17" ht="63" customHeight="1">
      <x:c r="A17" s="1" t="str">
        <x:v>2027-07</x:v>
      </x:c>
      <x:c r="B17" s="1" t="str">
        <x:v>Turkey validation</x:v>
      </x:c>
      <x:c r="C17" s="11" t="str">
        <x:v>Add permissions, deletion controls and model evaluation.</x:v>
      </x:c>
      <x:c r="D17" s="11" t="str">
        <x:v>Document security procurement requirements.</x:v>
      </x:c>
      <x:c r="E17" s="11" t="str">
        <x:v>Prepare anonymization and privilege review process.</x:v>
      </x:c>
      <x:c r="F17" s="1" t="n">
        <x:v>7</x:v>
      </x:c>
      <x:c r="G17" s="1" t="n">
        <x:v>52</x:v>
      </x:c>
      <x:c r="H17" s="1" t="n">
        <x:v>0</x:v>
      </x:c>
      <x:c r="I17" s="1" t="n">
        <x:v>0</x:v>
      </x:c>
      <x:c r="J17" s="12" t="n">
        <x:f>Model!M8</x:f>
        <x:v>0</x:v>
      </x:c>
      <x:c r="K17" s="12" t="n">
        <x:f>Model!O8</x:f>
        <x:v>6700</x:v>
      </x:c>
      <x:c r="L17" s="12" t="n">
        <x:f>Model!U8</x:f>
        <x:v>39791</x:v>
      </x:c>
      <x:c r="M17" s="12" t="n">
        <x:f>Model!V8</x:f>
        <x:v>-33091</x:v>
      </x:c>
    </x:row>
    <x:row r="18" ht="63" customHeight="1">
      <x:c r="A18" s="1" t="str">
        <x:v>2027-08</x:v>
      </x:c>
      <x:c r="B18" s="1" t="str">
        <x:v>Turkey validation</x:v>
      </x:c>
      <x:c r="C18" s="11" t="str">
        <x:v>Measure answer quality and false-confidence cases.</x:v>
      </x:c>
      <x:c r="D18" s="11" t="str">
        <x:v>Start repeatable firm onboarding playbook.</x:v>
      </x:c>
      <x:c r="E18" s="11" t="str">
        <x:v>Run blinded legal review of evaluation examples.</x:v>
      </x:c>
      <x:c r="F18" s="1" t="n">
        <x:v>7</x:v>
      </x:c>
      <x:c r="G18" s="1" t="n">
        <x:v>60</x:v>
      </x:c>
      <x:c r="H18" s="1" t="n">
        <x:v>0</x:v>
      </x:c>
      <x:c r="I18" s="1" t="n">
        <x:v>0</x:v>
      </x:c>
      <x:c r="J18" s="12" t="n">
        <x:f>Model!M9</x:f>
        <x:v>0</x:v>
      </x:c>
      <x:c r="K18" s="12" t="n">
        <x:f>Model!O9</x:f>
        <x:v>7500</x:v>
      </x:c>
      <x:c r="L18" s="12" t="n">
        <x:f>Model!U9</x:f>
        <x:v>40510</x:v>
      </x:c>
      <x:c r="M18" s="12" t="n">
        <x:f>Model!V9</x:f>
        <x:v>-33010</x:v>
      </x:c>
    </x:row>
    <x:row r="19" ht="63" customHeight="1">
      <x:c r="A19" s="1" t="str">
        <x:v>2027-09</x:v>
      </x:c>
      <x:c r="B19" s="1" t="str">
        <x:v>Turkey validation</x:v>
      </x:c>
      <x:c r="C19" s="11" t="str">
        <x:v>Harden hosting, backups and incident workflow.</x:v>
      </x:c>
      <x:c r="D19" s="11" t="str">
        <x:v>Build channel and bar-association outreach.</x:v>
      </x:c>
      <x:c r="E19" s="11" t="str">
        <x:v>Package first eligible evaluation catalogue.</x:v>
      </x:c>
      <x:c r="F19" s="1" t="n">
        <x:v>8</x:v>
      </x:c>
      <x:c r="G19" s="1" t="n">
        <x:v>68</x:v>
      </x:c>
      <x:c r="H19" s="1" t="n">
        <x:v>0</x:v>
      </x:c>
      <x:c r="I19" s="1" t="n">
        <x:v>0</x:v>
      </x:c>
      <x:c r="J19" s="12" t="n">
        <x:f>Model!M10</x:f>
        <x:v>0</x:v>
      </x:c>
      <x:c r="K19" s="12" t="n">
        <x:f>Model!O10</x:f>
        <x:v>8300</x:v>
      </x:c>
      <x:c r="L19" s="12" t="n">
        <x:f>Model!U10</x:f>
        <x:v>44774</x:v>
      </x:c>
      <x:c r="M19" s="12" t="n">
        <x:f>Model!V10</x:f>
        <x:v>-36474</x:v>
      </x:c>
    </x:row>
    <x:row r="20" ht="63" customHeight="1">
      <x:c r="A20" s="1" t="str">
        <x:v>2027-10</x:v>
      </x:c>
      <x:c r="B20" s="1" t="str">
        <x:v>Turkey validation</x:v>
      </x:c>
      <x:c r="C20" s="11" t="str">
        <x:v>Test limited licensing delivery and buyer reporting.</x:v>
      </x:c>
      <x:c r="D20" s="11" t="str">
        <x:v>Seek one conditional paid lab-data license.</x:v>
      </x:c>
      <x:c r="E20" s="11" t="str">
        <x:v>Target first $25k research/evaluation license.</x:v>
      </x:c>
      <x:c r="F20" s="1" t="n">
        <x:v>8</x:v>
      </x:c>
      <x:c r="G20" s="1" t="n">
        <x:v>80</x:v>
      </x:c>
      <x:c r="H20" s="1" t="n">
        <x:v>0</x:v>
      </x:c>
      <x:c r="I20" s="1" t="n">
        <x:v>1</x:v>
      </x:c>
      <x:c r="J20" s="12" t="n">
        <x:f>Model!M11</x:f>
        <x:v>25000</x:v>
      </x:c>
      <x:c r="K20" s="12" t="n">
        <x:f>Model!O11</x:f>
        <x:v>35000</x:v>
      </x:c>
      <x:c r="L20" s="12" t="n">
        <x:f>Model!U11</x:f>
        <x:v>59704</x:v>
      </x:c>
      <x:c r="M20" s="12" t="n">
        <x:f>Model!V11</x:f>
        <x:v>-24704</x:v>
      </x:c>
    </x:row>
    <x:row r="21" ht="63" customHeight="1">
      <x:c r="A21" s="1" t="str">
        <x:v>2027-11</x:v>
      </x:c>
      <x:c r="B21" s="1" t="str">
        <x:v>Turkey validation</x:v>
      </x:c>
      <x:c r="C21" s="11" t="str">
        <x:v>Reduce onboarding time; refine usage limits.</x:v>
      </x:c>
      <x:c r="D21" s="11" t="str">
        <x:v>Review unit economics and seed materials.</x:v>
      </x:c>
      <x:c r="E21" s="11" t="str">
        <x:v>Audit lab royalty, contract scope and usage rights.</x:v>
      </x:c>
      <x:c r="F21" s="1" t="n">
        <x:v>9</x:v>
      </x:c>
      <x:c r="G21" s="1" t="n">
        <x:v>95</x:v>
      </x:c>
      <x:c r="H21" s="1" t="n">
        <x:v>0</x:v>
      </x:c>
      <x:c r="I21" s="1" t="n">
        <x:v>0</x:v>
      </x:c>
      <x:c r="J21" s="12" t="n">
        <x:f>Model!M12</x:f>
        <x:v>0</x:v>
      </x:c>
      <x:c r="K21" s="12" t="n">
        <x:f>Model!O12</x:f>
        <x:v>12000</x:v>
      </x:c>
      <x:c r="L21" s="12" t="n">
        <x:f>Model!U12</x:f>
        <x:v>50949</x:v>
      </x:c>
      <x:c r="M21" s="12" t="n">
        <x:f>Model!V12</x:f>
        <x:v>-38949</x:v>
      </x:c>
    </x:row>
    <x:row r="22" ht="63" customHeight="1">
      <x:c r="A22" s="1" t="str">
        <x:v>2027-12</x:v>
      </x:c>
      <x:c r="B22" s="1" t="str">
        <x:v>Turkey validation</x:v>
      </x:c>
      <x:c r="C22" s="11" t="str">
        <x:v>Close product and compliance gaps from pilots.</x:v>
      </x:c>
      <x:c r="D22" s="11" t="str">
        <x:v>Target 100 paying firms; decide 2028 US entry gate.</x:v>
      </x:c>
      <x:c r="E22" s="11" t="str">
        <x:v>Renew only assets with documented transfer rights.</x:v>
      </x:c>
      <x:c r="F22" s="1" t="n">
        <x:v>10</x:v>
      </x:c>
      <x:c r="G22" s="1" t="n">
        <x:v>100</x:v>
      </x:c>
      <x:c r="H22" s="1" t="n">
        <x:v>0</x:v>
      </x:c>
      <x:c r="I22" s="1" t="n">
        <x:v>0</x:v>
      </x:c>
      <x:c r="J22" s="12" t="n">
        <x:f>Model!M13</x:f>
        <x:v>0</x:v>
      </x:c>
      <x:c r="K22" s="12" t="n">
        <x:f>Model!O13</x:f>
        <x:v>12500</x:v>
      </x:c>
      <x:c r="L22" s="12" t="n">
        <x:f>Model!U13</x:f>
        <x:v>54942</x:v>
      </x:c>
      <x:c r="M22" s="12" t="n">
        <x:f>Model!V13</x:f>
        <x:v>-42442</x:v>
      </x:c>
    </x:row>
    <x:row r="23" ht="63" customHeight="1">
      <x:c r="A23" s="1" t="str">
        <x:v>2028-01</x:v>
      </x:c>
      <x:c r="B23" s="1" t="str">
        <x:v>US entry</x:v>
      </x:c>
      <x:c r="C23" s="11" t="str">
        <x:v>Localize intake and document workflows for US pilots.</x:v>
      </x:c>
      <x:c r="D23" s="11" t="str">
        <x:v>Retain Turkish accounts; shortlist US counsel.</x:v>
      </x:c>
      <x:c r="E23" s="11" t="str">
        <x:v>Scope US legal AI evaluation buyer needs.</x:v>
      </x:c>
      <x:c r="F23" s="1" t="n">
        <x:v>10</x:v>
      </x:c>
      <x:c r="G23" s="1" t="n">
        <x:v>100</x:v>
      </x:c>
      <x:c r="H23" s="1" t="n">
        <x:v>0</x:v>
      </x:c>
      <x:c r="I23" s="1" t="n">
        <x:v>0</x:v>
      </x:c>
      <x:c r="J23" s="12" t="n">
        <x:f>Model!M14</x:f>
        <x:v>0</x:v>
      </x:c>
      <x:c r="K23" s="12" t="n">
        <x:f>Model!O14</x:f>
        <x:v>14500</x:v>
      </x:c>
      <x:c r="L23" s="12" t="n">
        <x:f>Model!U14</x:f>
        <x:v>64542</x:v>
      </x:c>
      <x:c r="M23" s="12" t="n">
        <x:f>Model!V14</x:f>
        <x:v>-50042</x:v>
      </x:c>
    </x:row>
    <x:row r="24" ht="63" customHeight="1">
      <x:c r="A24" s="1" t="str">
        <x:v>2028-02</x:v>
      </x:c>
      <x:c r="B24" s="1" t="str">
        <x:v>US entry</x:v>
      </x:c>
      <x:c r="C24" s="11" t="str">
        <x:v>Add jurisdiction labels and source provenance.</x:v>
      </x:c>
      <x:c r="D24" s="11" t="str">
        <x:v>Start US customer discovery with firms and trade teams.</x:v>
      </x:c>
      <x:c r="E24" s="11" t="str">
        <x:v>Draft US data-use and cross-border transfer templates.</x:v>
      </x:c>
      <x:c r="F24" s="1" t="n">
        <x:v>11</x:v>
      </x:c>
      <x:c r="G24" s="1" t="n">
        <x:v>109</x:v>
      </x:c>
      <x:c r="H24" s="1" t="n">
        <x:v>1</x:v>
      </x:c>
      <x:c r="I24" s="1" t="n">
        <x:v>0</x:v>
      </x:c>
      <x:c r="J24" s="12" t="n">
        <x:f>Model!M15</x:f>
        <x:v>0</x:v>
      </x:c>
      <x:c r="K24" s="12" t="n">
        <x:f>Model!O15</x:f>
        <x:v>16400</x:v>
      </x:c>
      <x:c r="L24" s="12" t="n">
        <x:f>Model!U15</x:f>
        <x:v>69699</x:v>
      </x:c>
      <x:c r="M24" s="12" t="n">
        <x:f>Model!V15</x:f>
        <x:v>-53299</x:v>
      </x:c>
    </x:row>
    <x:row r="25" ht="63" customHeight="1">
      <x:c r="A25" s="1" t="str">
        <x:v>2028-03</x:v>
      </x:c>
      <x:c r="B25" s="1" t="str">
        <x:v>US entry</x:v>
      </x:c>
      <x:c r="C25" s="11" t="str">
        <x:v>Run independent security and privacy gap review.</x:v>
      </x:c>
      <x:c r="D25" s="11" t="str">
        <x:v>Define US pilot cohort and company pricing tests.</x:v>
      </x:c>
      <x:c r="E25" s="11" t="str">
        <x:v>Qualify multilingual legal NLP partners.</x:v>
      </x:c>
      <x:c r="F25" s="1" t="n">
        <x:v>11</x:v>
      </x:c>
      <x:c r="G25" s="1" t="n">
        <x:v>118</x:v>
      </x:c>
      <x:c r="H25" s="1" t="n">
        <x:v>2</x:v>
      </x:c>
      <x:c r="I25" s="1" t="n">
        <x:v>0</x:v>
      </x:c>
      <x:c r="J25" s="12" t="n">
        <x:f>Model!M16</x:f>
        <x:v>0</x:v>
      </x:c>
      <x:c r="K25" s="12" t="n">
        <x:f>Model!O16</x:f>
        <x:v>18300</x:v>
      </x:c>
      <x:c r="L25" s="12" t="n">
        <x:f>Model!U16</x:f>
        <x:v>71059</x:v>
      </x:c>
      <x:c r="M25" s="12" t="n">
        <x:f>Model!V16</x:f>
        <x:v>-52759</x:v>
      </x:c>
    </x:row>
    <x:row r="26" ht="63" customHeight="1">
      <x:c r="A26" s="1" t="str">
        <x:v>2028-04</x:v>
      </x:c>
      <x:c r="B26" s="1" t="str">
        <x:v>US entry</x:v>
      </x:c>
      <x:c r="C26" s="11" t="str">
        <x:v>Ship gated US pilot with lawyer review.</x:v>
      </x:c>
      <x:c r="D26" s="11" t="str">
        <x:v>Target first US company pilot and local advisor.</x:v>
      </x:c>
      <x:c r="E26" s="11" t="str">
        <x:v>Model first $100k lab license, conditional on rights.</x:v>
      </x:c>
      <x:c r="F26" s="1" t="n">
        <x:v>12</x:v>
      </x:c>
      <x:c r="G26" s="1" t="n">
        <x:v>127</x:v>
      </x:c>
      <x:c r="H26" s="1" t="n">
        <x:v>3</x:v>
      </x:c>
      <x:c r="I26" s="1" t="n">
        <x:v>1</x:v>
      </x:c>
      <x:c r="J26" s="12" t="n">
        <x:f>Model!M17</x:f>
        <x:v>100000</x:v>
      </x:c>
      <x:c r="K26" s="12" t="n">
        <x:f>Model!O17</x:f>
        <x:v>120200</x:v>
      </x:c>
      <x:c r="L26" s="12" t="n">
        <x:f>Model!U17</x:f>
        <x:v>131217</x:v>
      </x:c>
      <x:c r="M26" s="12" t="n">
        <x:f>Model!V17</x:f>
        <x:v>-11017</x:v>
      </x:c>
    </x:row>
    <x:row r="27" ht="63" customHeight="1">
      <x:c r="A27" s="1" t="str">
        <x:v>2028-05</x:v>
      </x:c>
      <x:c r="B27" s="1" t="str">
        <x:v>US entry</x:v>
      </x:c>
      <x:c r="C27" s="11" t="str">
        <x:v>Measure pilot accuracy, latency and review time.</x:v>
      </x:c>
      <x:c r="D27" s="11" t="str">
        <x:v>Decide whether to establish a US office.</x:v>
      </x:c>
      <x:c r="E27" s="11" t="str">
        <x:v>Build benchmark refresh and buyer acceptance criteria.</x:v>
      </x:c>
      <x:c r="F27" s="1" t="n">
        <x:v>12</x:v>
      </x:c>
      <x:c r="G27" s="1" t="n">
        <x:v>136</x:v>
      </x:c>
      <x:c r="H27" s="1" t="n">
        <x:v>4</x:v>
      </x:c>
      <x:c r="I27" s="1" t="n">
        <x:v>0</x:v>
      </x:c>
      <x:c r="J27" s="12" t="n">
        <x:f>Model!M18</x:f>
        <x:v>0</x:v>
      </x:c>
      <x:c r="K27" s="12" t="n">
        <x:f>Model!O18</x:f>
        <x:v>22600</x:v>
      </x:c>
      <x:c r="L27" s="12" t="n">
        <x:f>Model!U18</x:f>
        <x:v>77677</x:v>
      </x:c>
      <x:c r="M27" s="12" t="n">
        <x:f>Model!V18</x:f>
        <x:v>-55077</x:v>
      </x:c>
    </x:row>
    <x:row r="28" ht="63" customHeight="1">
      <x:c r="A28" s="1" t="str">
        <x:v>2028-06</x:v>
      </x:c>
      <x:c r="B28" s="1" t="str">
        <x:v>US entry</x:v>
      </x:c>
      <x:c r="C28" s="11" t="str">
        <x:v>Integrate company trade-dispute workflows.</x:v>
      </x:c>
      <x:c r="D28" s="11" t="str">
        <x:v>Create US support and sales handoff playbook.</x:v>
      </x:c>
      <x:c r="E28" s="11" t="str">
        <x:v>Evaluate US academic law-and-AI collaboration.</x:v>
      </x:c>
      <x:c r="F28" s="1" t="n">
        <x:v>13</x:v>
      </x:c>
      <x:c r="G28" s="1" t="n">
        <x:v>145</x:v>
      </x:c>
      <x:c r="H28" s="1" t="n">
        <x:v>4</x:v>
      </x:c>
      <x:c r="I28" s="1" t="n">
        <x:v>0</x:v>
      </x:c>
      <x:c r="J28" s="12" t="n">
        <x:f>Model!M19</x:f>
        <x:v>0</x:v>
      </x:c>
      <x:c r="K28" s="12" t="n">
        <x:f>Model!O19</x:f>
        <x:v>23500</x:v>
      </x:c>
      <x:c r="L28" s="12" t="n">
        <x:f>Model!U19</x:f>
        <x:v>82284</x:v>
      </x:c>
      <x:c r="M28" s="12" t="n">
        <x:f>Model!V19</x:f>
        <x:v>-58784</x:v>
      </x:c>
    </x:row>
    <x:row r="29" ht="63" customHeight="1">
      <x:c r="A29" s="1" t="str">
        <x:v>2028-07</x:v>
      </x:c>
      <x:c r="B29" s="1" t="str">
        <x:v>US entry</x:v>
      </x:c>
      <x:c r="C29" s="11" t="str">
        <x:v>Strengthen enterprise access controls and logs.</x:v>
      </x:c>
      <x:c r="D29" s="11" t="str">
        <x:v>Run procurement and security reviews with pilots.</x:v>
      </x:c>
      <x:c r="E29" s="11" t="str">
        <x:v>Expand multilingual evaluation coverage.</x:v>
      </x:c>
      <x:c r="F29" s="1" t="n">
        <x:v>13</x:v>
      </x:c>
      <x:c r="G29" s="1" t="n">
        <x:v>155</x:v>
      </x:c>
      <x:c r="H29" s="1" t="n">
        <x:v>5</x:v>
      </x:c>
      <x:c r="I29" s="1" t="n">
        <x:v>0</x:v>
      </x:c>
      <x:c r="J29" s="12" t="n">
        <x:f>Model!M20</x:f>
        <x:v>0</x:v>
      </x:c>
      <x:c r="K29" s="12" t="n">
        <x:f>Model!O20</x:f>
        <x:v>25500</x:v>
      </x:c>
      <x:c r="L29" s="12" t="n">
        <x:f>Model!U20</x:f>
        <x:v>83734</x:v>
      </x:c>
      <x:c r="M29" s="12" t="n">
        <x:f>Model!V20</x:f>
        <x:v>-58234</x:v>
      </x:c>
    </x:row>
    <x:row r="30" ht="63" customHeight="1">
      <x:c r="A30" s="1" t="str">
        <x:v>2028-08</x:v>
      </x:c>
      <x:c r="B30" s="1" t="str">
        <x:v>US entry</x:v>
      </x:c>
      <x:c r="C30" s="11" t="str">
        <x:v>Release US-ready reporting and evidence export.</x:v>
      </x:c>
      <x:c r="D30" s="11" t="str">
        <x:v>Target second US lab-data license.</x:v>
      </x:c>
      <x:c r="E30" s="11" t="str">
        <x:v>Model second $100k license after legal approval.</x:v>
      </x:c>
      <x:c r="F30" s="1" t="n">
        <x:v>14</x:v>
      </x:c>
      <x:c r="G30" s="1" t="n">
        <x:v>164</x:v>
      </x:c>
      <x:c r="H30" s="1" t="n">
        <x:v>6</x:v>
      </x:c>
      <x:c r="I30" s="1" t="n">
        <x:v>1</x:v>
      </x:c>
      <x:c r="J30" s="12" t="n">
        <x:f>Model!M21</x:f>
        <x:v>100000</x:v>
      </x:c>
      <x:c r="K30" s="12" t="n">
        <x:f>Model!O21</x:f>
        <x:v>127900</x:v>
      </x:c>
      <x:c r="L30" s="12" t="n">
        <x:f>Model!U21</x:f>
        <x:v>143992</x:v>
      </x:c>
      <x:c r="M30" s="12" t="n">
        <x:f>Model!V21</x:f>
        <x:v>-16092</x:v>
      </x:c>
    </x:row>
    <x:row r="31" ht="63" customHeight="1">
      <x:c r="A31" s="1" t="str">
        <x:v>2028-09</x:v>
      </x:c>
      <x:c r="B31" s="1" t="str">
        <x:v>US entry</x:v>
      </x:c>
      <x:c r="C31" s="11" t="str">
        <x:v>Test partner API and dataset provenance records.</x:v>
      </x:c>
      <x:c r="D31" s="11" t="str">
        <x:v>Track company retention and conversion.</x:v>
      </x:c>
      <x:c r="E31" s="11" t="str">
        <x:v>Review international rights and deletion commitments.</x:v>
      </x:c>
      <x:c r="F31" s="1" t="n">
        <x:v>14</x:v>
      </x:c>
      <x:c r="G31" s="1" t="n">
        <x:v>173</x:v>
      </x:c>
      <x:c r="H31" s="1" t="n">
        <x:v>7</x:v>
      </x:c>
      <x:c r="I31" s="1" t="n">
        <x:v>0</x:v>
      </x:c>
      <x:c r="J31" s="12" t="n">
        <x:f>Model!M22</x:f>
        <x:v>0</x:v>
      </x:c>
      <x:c r="K31" s="12" t="n">
        <x:f>Model!O22</x:f>
        <x:v>29800</x:v>
      </x:c>
      <x:c r="L31" s="12" t="n">
        <x:f>Model!U22</x:f>
        <x:v>90350</x:v>
      </x:c>
      <x:c r="M31" s="12" t="n">
        <x:f>Model!V22</x:f>
        <x:v>-60550</x:v>
      </x:c>
    </x:row>
    <x:row r="32" ht="63" customHeight="1">
      <x:c r="A32" s="1" t="str">
        <x:v>2028-10</x:v>
      </x:c>
      <x:c r="B32" s="1" t="str">
        <x:v>US entry</x:v>
      </x:c>
      <x:c r="C32" s="11" t="str">
        <x:v>Improve model monitoring across jurisdictions.</x:v>
      </x:c>
      <x:c r="D32" s="11" t="str">
        <x:v>Hire local commercial support only after pilot gate.</x:v>
      </x:c>
      <x:c r="E32" s="11" t="str">
        <x:v>Prepare third evaluation catalogue release.</x:v>
      </x:c>
      <x:c r="F32" s="1" t="n">
        <x:v>15</x:v>
      </x:c>
      <x:c r="G32" s="1" t="n">
        <x:v>182</x:v>
      </x:c>
      <x:c r="H32" s="1" t="n">
        <x:v>8</x:v>
      </x:c>
      <x:c r="I32" s="1" t="n">
        <x:v>0</x:v>
      </x:c>
      <x:c r="J32" s="12" t="n">
        <x:f>Model!M23</x:f>
        <x:v>0</x:v>
      </x:c>
      <x:c r="K32" s="12" t="n">
        <x:f>Model!O23</x:f>
        <x:v>31700</x:v>
      </x:c>
      <x:c r="L32" s="12" t="n">
        <x:f>Model!U23</x:f>
        <x:v>95508</x:v>
      </x:c>
      <x:c r="M32" s="12" t="n">
        <x:f>Model!V23</x:f>
        <x:v>-63808</x:v>
      </x:c>
    </x:row>
    <x:row r="33" ht="63" customHeight="1">
      <x:c r="A33" s="1" t="str">
        <x:v>2028-11</x:v>
      </x:c>
      <x:c r="B33" s="1" t="str">
        <x:v>US entry</x:v>
      </x:c>
      <x:c r="C33" s="11" t="str">
        <x:v>Validate support cost at 200-firm scale.</x:v>
      </x:c>
      <x:c r="D33" s="11" t="str">
        <x:v>Confirm US entity/office decision and 2029 budget.</x:v>
      </x:c>
      <x:c r="E33" s="11" t="str">
        <x:v>Negotiate renewal and independent quality review.</x:v>
      </x:c>
      <x:c r="F33" s="1" t="n">
        <x:v>16</x:v>
      </x:c>
      <x:c r="G33" s="1" t="n">
        <x:v>191</x:v>
      </x:c>
      <x:c r="H33" s="1" t="n">
        <x:v>10</x:v>
      </x:c>
      <x:c r="I33" s="1" t="n">
        <x:v>0</x:v>
      </x:c>
      <x:c r="J33" s="12" t="n">
        <x:f>Model!M24</x:f>
        <x:v>0</x:v>
      </x:c>
      <x:c r="K33" s="12" t="n">
        <x:f>Model!O24</x:f>
        <x:v>34100</x:v>
      </x:c>
      <x:c r="L33" s="12" t="n">
        <x:f>Model!U24</x:f>
        <x:v>101115</x:v>
      </x:c>
      <x:c r="M33" s="12" t="n">
        <x:f>Model!V24</x:f>
        <x:v>-67015</x:v>
      </x:c>
    </x:row>
    <x:row r="34" ht="63" customHeight="1">
      <x:c r="A34" s="1" t="str">
        <x:v>2028-12</x:v>
      </x:c>
      <x:c r="B34" s="1" t="str">
        <x:v>US entry</x:v>
      </x:c>
      <x:c r="C34" s="11" t="str">
        <x:v>Complete readiness review for wider rollout.</x:v>
      </x:c>
      <x:c r="D34" s="11" t="str">
        <x:v>Target 200 firms and 10 companies at year-end.</x:v>
      </x:c>
      <x:c r="E34" s="11" t="str">
        <x:v>Model third $100k license; audit all buyer terms.</x:v>
      </x:c>
      <x:c r="F34" s="1" t="n">
        <x:v>17</x:v>
      </x:c>
      <x:c r="G34" s="1" t="n">
        <x:v>200</x:v>
      </x:c>
      <x:c r="H34" s="1" t="n">
        <x:v>10</x:v>
      </x:c>
      <x:c r="I34" s="1" t="n">
        <x:v>1</x:v>
      </x:c>
      <x:c r="J34" s="12" t="n">
        <x:f>Model!M25</x:f>
        <x:v>100000</x:v>
      </x:c>
      <x:c r="K34" s="12" t="n">
        <x:f>Model!O25</x:f>
        <x:v>135500</x:v>
      </x:c>
      <x:c r="L34" s="12" t="n">
        <x:f>Model!U25</x:f>
        <x:v>160823</x:v>
      </x:c>
      <x:c r="M34" s="12" t="n">
        <x:f>Model!V25</x:f>
        <x:v>-25323</x:v>
      </x:c>
    </x:row>
    <x:row r="35" ht="63" customHeight="1">
      <x:c r="A35" s="1" t="str">
        <x:v>2029-01</x:v>
      </x:c>
      <x:c r="B35" s="1" t="str">
        <x:v>Selective global scale</x:v>
      </x:c>
      <x:c r="C35" s="11" t="str">
        <x:v>Add multilingual retrieval and jurisdiction gating.</x:v>
      </x:c>
      <x:c r="D35" s="11" t="str">
        <x:v>Select two cross-border partner markets.</x:v>
      </x:c>
      <x:c r="E35" s="11" t="str">
        <x:v>Compare legal NLP and evaluation labs by language.</x:v>
      </x:c>
      <x:c r="F35" s="1" t="n">
        <x:v>17</x:v>
      </x:c>
      <x:c r="G35" s="1" t="n">
        <x:v>200</x:v>
      </x:c>
      <x:c r="H35" s="1" t="n">
        <x:v>10</x:v>
      </x:c>
      <x:c r="I35" s="1" t="n">
        <x:v>1</x:v>
      </x:c>
      <x:c r="J35" s="12" t="n">
        <x:f>Model!M26</x:f>
        <x:v>300000</x:v>
      </x:c>
      <x:c r="K35" s="12" t="n">
        <x:f>Model!O26</x:f>
        <x:v>340000</x:v>
      </x:c>
      <x:c r="L35" s="12" t="n">
        <x:f>Model!U26</x:f>
        <x:v>287841</x:v>
      </x:c>
      <x:c r="M35" s="12" t="n">
        <x:f>Model!V26</x:f>
        <x:v>52159</x:v>
      </x:c>
    </x:row>
    <x:row r="36" ht="63" customHeight="1">
      <x:c r="A36" s="1" t="str">
        <x:v>2029-02</x:v>
      </x:c>
      <x:c r="B36" s="1" t="str">
        <x:v>Selective global scale</x:v>
      </x:c>
      <x:c r="C36" s="11" t="str">
        <x:v>Add multilingual retrieval and jurisdiction gating.</x:v>
      </x:c>
      <x:c r="D36" s="11" t="str">
        <x:v>Select two cross-border partner markets.</x:v>
      </x:c>
      <x:c r="E36" s="11" t="str">
        <x:v>Compare legal NLP and evaluation labs by language.</x:v>
      </x:c>
      <x:c r="F36" s="1" t="n">
        <x:v>18</x:v>
      </x:c>
      <x:c r="G36" s="1" t="n">
        <x:v>214</x:v>
      </x:c>
      <x:c r="H36" s="1" t="n">
        <x:v>18</x:v>
      </x:c>
      <x:c r="I36" s="1" t="n">
        <x:v>1</x:v>
      </x:c>
      <x:c r="J36" s="12" t="n">
        <x:f>Model!M27</x:f>
        <x:v>300000</x:v>
      </x:c>
      <x:c r="K36" s="12" t="n">
        <x:f>Model!O27</x:f>
        <x:v>347400</x:v>
      </x:c>
      <x:c r="L36" s="12" t="n">
        <x:f>Model!U27</x:f>
        <x:v>297356</x:v>
      </x:c>
      <x:c r="M36" s="12" t="n">
        <x:f>Model!V27</x:f>
        <x:v>50044</x:v>
      </x:c>
    </x:row>
    <x:row r="37" ht="63" customHeight="1">
      <x:c r="A37" s="1" t="str">
        <x:v>2029-03</x:v>
      </x:c>
      <x:c r="B37" s="1" t="str">
        <x:v>Selective global scale</x:v>
      </x:c>
      <x:c r="C37" s="11" t="str">
        <x:v>Add multilingual retrieval and jurisdiction gating.</x:v>
      </x:c>
      <x:c r="D37" s="11" t="str">
        <x:v>Select two cross-border partner markets.</x:v>
      </x:c>
      <x:c r="E37" s="11" t="str">
        <x:v>Compare legal NLP and evaluation labs by language.</x:v>
      </x:c>
      <x:c r="F37" s="1" t="n">
        <x:v>19</x:v>
      </x:c>
      <x:c r="G37" s="1" t="n">
        <x:v>227</x:v>
      </x:c>
      <x:c r="H37" s="1" t="n">
        <x:v>26</x:v>
      </x:c>
      <x:c r="I37" s="1" t="n">
        <x:v>1</x:v>
      </x:c>
      <x:c r="J37" s="12" t="n">
        <x:f>Model!M28</x:f>
        <x:v>300000</x:v>
      </x:c>
      <x:c r="K37" s="12" t="n">
        <x:f>Model!O28</x:f>
        <x:v>355200</x:v>
      </x:c>
      <x:c r="L37" s="12" t="n">
        <x:f>Model!U28</x:f>
        <x:v>306881</x:v>
      </x:c>
      <x:c r="M37" s="12" t="n">
        <x:f>Model!V28</x:f>
        <x:v>48319</x:v>
      </x:c>
    </x:row>
    <x:row r="38" ht="63" customHeight="1">
      <x:c r="A38" s="1" t="str">
        <x:v>2029-04</x:v>
      </x:c>
      <x:c r="B38" s="1" t="str">
        <x:v>Selective global scale</x:v>
      </x:c>
      <x:c r="C38" s="11" t="str">
        <x:v>Build enterprise identity and regional hosting options.</x:v>
      </x:c>
      <x:c r="D38" s="11" t="str">
        <x:v>Pilot cross-border trade-dispute teams.</x:v>
      </x:c>
      <x:c r="E38" s="11" t="str">
        <x:v>License only reviewed jurisdiction-specific datasets.</x:v>
      </x:c>
      <x:c r="F38" s="1" t="n">
        <x:v>21</x:v>
      </x:c>
      <x:c r="G38" s="1" t="n">
        <x:v>241</x:v>
      </x:c>
      <x:c r="H38" s="1" t="n">
        <x:v>35</x:v>
      </x:c>
      <x:c r="I38" s="1" t="n">
        <x:v>1</x:v>
      </x:c>
      <x:c r="J38" s="12" t="n">
        <x:f>Model!M29</x:f>
        <x:v>300000</x:v>
      </x:c>
      <x:c r="K38" s="12" t="n">
        <x:f>Model!O29</x:f>
        <x:v>364100</x:v>
      </x:c>
      <x:c r="L38" s="12" t="n">
        <x:f>Model!U29</x:f>
        <x:v>321302</x:v>
      </x:c>
      <x:c r="M38" s="12" t="n">
        <x:f>Model!V29</x:f>
        <x:v>42798</x:v>
      </x:c>
    </x:row>
    <x:row r="39" ht="63" customHeight="1">
      <x:c r="A39" s="1" t="str">
        <x:v>2029-05</x:v>
      </x:c>
      <x:c r="B39" s="1" t="str">
        <x:v>Selective global scale</x:v>
      </x:c>
      <x:c r="C39" s="11" t="str">
        <x:v>Build enterprise identity and regional hosting options.</x:v>
      </x:c>
      <x:c r="D39" s="11" t="str">
        <x:v>Pilot cross-border trade-dispute teams.</x:v>
      </x:c>
      <x:c r="E39" s="11" t="str">
        <x:v>License only reviewed jurisdiction-specific datasets.</x:v>
      </x:c>
      <x:c r="F39" s="1" t="n">
        <x:v>22</x:v>
      </x:c>
      <x:c r="G39" s="1" t="n">
        <x:v>255</x:v>
      </x:c>
      <x:c r="H39" s="1" t="n">
        <x:v>43</x:v>
      </x:c>
      <x:c r="I39" s="1" t="n">
        <x:v>1</x:v>
      </x:c>
      <x:c r="J39" s="12" t="n">
        <x:f>Model!M30</x:f>
        <x:v>300000</x:v>
      </x:c>
      <x:c r="K39" s="12" t="n">
        <x:f>Model!O30</x:f>
        <x:v>371500</x:v>
      </x:c>
      <x:c r="L39" s="12" t="n">
        <x:f>Model!U30</x:f>
        <x:v>330817</x:v>
      </x:c>
      <x:c r="M39" s="12" t="n">
        <x:f>Model!V30</x:f>
        <x:v>40683</x:v>
      </x:c>
    </x:row>
    <x:row r="40" ht="63" customHeight="1">
      <x:c r="A40" s="1" t="str">
        <x:v>2029-06</x:v>
      </x:c>
      <x:c r="B40" s="1" t="str">
        <x:v>Selective global scale</x:v>
      </x:c>
      <x:c r="C40" s="11" t="str">
        <x:v>Build enterprise identity and regional hosting options.</x:v>
      </x:c>
      <x:c r="D40" s="11" t="str">
        <x:v>Pilot cross-border trade-dispute teams.</x:v>
      </x:c>
      <x:c r="E40" s="11" t="str">
        <x:v>License only reviewed jurisdiction-specific datasets.</x:v>
      </x:c>
      <x:c r="F40" s="1" t="n">
        <x:v>23</x:v>
      </x:c>
      <x:c r="G40" s="1" t="n">
        <x:v>268</x:v>
      </x:c>
      <x:c r="H40" s="1" t="n">
        <x:v>51</x:v>
      </x:c>
      <x:c r="I40" s="1" t="n">
        <x:v>1</x:v>
      </x:c>
      <x:c r="J40" s="12" t="n">
        <x:f>Model!M31</x:f>
        <x:v>300000</x:v>
      </x:c>
      <x:c r="K40" s="12" t="n">
        <x:f>Model!O31</x:f>
        <x:v>379300</x:v>
      </x:c>
      <x:c r="L40" s="12" t="n">
        <x:f>Model!U31</x:f>
        <x:v>340342</x:v>
      </x:c>
      <x:c r="M40" s="12" t="n">
        <x:f>Model!V31</x:f>
        <x:v>38958</x:v>
      </x:c>
    </x:row>
    <x:row r="41" ht="63" customHeight="1">
      <x:c r="A41" s="1" t="str">
        <x:v>2029-07</x:v>
      </x:c>
      <x:c r="B41" s="1" t="str">
        <x:v>Selective global scale</x:v>
      </x:c>
      <x:c r="C41" s="11" t="str">
        <x:v>Measure repeat use and source quality by market.</x:v>
      </x:c>
      <x:c r="D41" s="11" t="str">
        <x:v>Set partner onboarding and localized support.</x:v>
      </x:c>
      <x:c r="E41" s="11" t="str">
        <x:v>Expand academic law-and-AI evaluation partnerships.</x:v>
      </x:c>
      <x:c r="F41" s="1" t="n">
        <x:v>24</x:v>
      </x:c>
      <x:c r="G41" s="1" t="n">
        <x:v>282</x:v>
      </x:c>
      <x:c r="H41" s="1" t="n">
        <x:v>59</x:v>
      </x:c>
      <x:c r="I41" s="1" t="n">
        <x:v>1</x:v>
      </x:c>
      <x:c r="J41" s="12" t="n">
        <x:f>Model!M32</x:f>
        <x:v>300000</x:v>
      </x:c>
      <x:c r="K41" s="12" t="n">
        <x:f>Model!O32</x:f>
        <x:v>387200</x:v>
      </x:c>
      <x:c r="L41" s="12" t="n">
        <x:f>Model!U32</x:f>
        <x:v>349957</x:v>
      </x:c>
      <x:c r="M41" s="12" t="n">
        <x:f>Model!V32</x:f>
        <x:v>37243</x:v>
      </x:c>
    </x:row>
    <x:row r="42" ht="63" customHeight="1">
      <x:c r="A42" s="1" t="str">
        <x:v>2029-08</x:v>
      </x:c>
      <x:c r="B42" s="1" t="str">
        <x:v>Selective global scale</x:v>
      </x:c>
      <x:c r="C42" s="11" t="str">
        <x:v>Measure repeat use and source quality by market.</x:v>
      </x:c>
      <x:c r="D42" s="11" t="str">
        <x:v>Set partner onboarding and localized support.</x:v>
      </x:c>
      <x:c r="E42" s="11" t="str">
        <x:v>Expand academic law-and-AI evaluation partnerships.</x:v>
      </x:c>
      <x:c r="F42" s="1" t="n">
        <x:v>25</x:v>
      </x:c>
      <x:c r="G42" s="1" t="n">
        <x:v>295</x:v>
      </x:c>
      <x:c r="H42" s="1" t="n">
        <x:v>67</x:v>
      </x:c>
      <x:c r="I42" s="1" t="n">
        <x:v>1</x:v>
      </x:c>
      <x:c r="J42" s="12" t="n">
        <x:f>Model!M33</x:f>
        <x:v>300000</x:v>
      </x:c>
      <x:c r="K42" s="12" t="n">
        <x:f>Model!O33</x:f>
        <x:v>395000</x:v>
      </x:c>
      <x:c r="L42" s="12" t="n">
        <x:f>Model!U33</x:f>
        <x:v>359483</x:v>
      </x:c>
      <x:c r="M42" s="12" t="n">
        <x:f>Model!V33</x:f>
        <x:v>35517</x:v>
      </x:c>
    </x:row>
    <x:row r="43" ht="63" customHeight="1">
      <x:c r="A43" s="1" t="str">
        <x:v>2029-09</x:v>
      </x:c>
      <x:c r="B43" s="1" t="str">
        <x:v>Selective global scale</x:v>
      </x:c>
      <x:c r="C43" s="11" t="str">
        <x:v>Measure repeat use and source quality by market.</x:v>
      </x:c>
      <x:c r="D43" s="11" t="str">
        <x:v>Set partner onboarding and localized support.</x:v>
      </x:c>
      <x:c r="E43" s="11" t="str">
        <x:v>Expand academic law-and-AI evaluation partnerships.</x:v>
      </x:c>
      <x:c r="F43" s="1" t="n">
        <x:v>26</x:v>
      </x:c>
      <x:c r="G43" s="1" t="n">
        <x:v>309</x:v>
      </x:c>
      <x:c r="H43" s="1" t="n">
        <x:v>75</x:v>
      </x:c>
      <x:c r="I43" s="1" t="n">
        <x:v>1</x:v>
      </x:c>
      <x:c r="J43" s="12" t="n">
        <x:f>Model!M34</x:f>
        <x:v>300000</x:v>
      </x:c>
      <x:c r="K43" s="12" t="n">
        <x:f>Model!O34</x:f>
        <x:v>402900</x:v>
      </x:c>
      <x:c r="L43" s="12" t="n">
        <x:f>Model!U34</x:f>
        <x:v>369098</x:v>
      </x:c>
      <x:c r="M43" s="12" t="n">
        <x:f>Model!V34</x:f>
        <x:v>33802</x:v>
      </x:c>
    </x:row>
    <x:row r="44" ht="63" customHeight="1">
      <x:c r="A44" s="1" t="str">
        <x:v>2029-10</x:v>
      </x:c>
      <x:c r="B44" s="1" t="str">
        <x:v>Selective global scale</x:v>
      </x:c>
      <x:c r="C44" s="11" t="str">
        <x:v>Publish per-market quality scorecards.</x:v>
      </x:c>
      <x:c r="D44" s="11" t="str">
        <x:v>Target 350 firms, 100 companies and 10 buyer contracts.</x:v>
      </x:c>
      <x:c r="E44" s="11" t="str">
        <x:v>Reassess license renewals, royalties and rights.</x:v>
      </x:c>
      <x:c r="F44" s="1" t="n">
        <x:v>28</x:v>
      </x:c>
      <x:c r="G44" s="1" t="n">
        <x:v>323</x:v>
      </x:c>
      <x:c r="H44" s="1" t="n">
        <x:v>84</x:v>
      </x:c>
      <x:c r="I44" s="1" t="n">
        <x:v>1</x:v>
      </x:c>
      <x:c r="J44" s="12" t="n">
        <x:f>Model!M35</x:f>
        <x:v>300000</x:v>
      </x:c>
      <x:c r="K44" s="12" t="n">
        <x:f>Model!O35</x:f>
        <x:v>411300</x:v>
      </x:c>
      <x:c r="L44" s="12" t="n">
        <x:f>Model!U35</x:f>
        <x:v>383418</x:v>
      </x:c>
      <x:c r="M44" s="12" t="n">
        <x:f>Model!V35</x:f>
        <x:v>27882</x:v>
      </x:c>
    </x:row>
    <x:row r="45" ht="63" customHeight="1">
      <x:c r="A45" s="1" t="str">
        <x:v>2029-11</x:v>
      </x:c>
      <x:c r="B45" s="1" t="str">
        <x:v>Selective global scale</x:v>
      </x:c>
      <x:c r="C45" s="11" t="str">
        <x:v>Publish per-market quality scorecards.</x:v>
      </x:c>
      <x:c r="D45" s="11" t="str">
        <x:v>Target 350 firms, 100 companies and 10 buyer contracts.</x:v>
      </x:c>
      <x:c r="E45" s="11" t="str">
        <x:v>Reassess license renewals, royalties and rights.</x:v>
      </x:c>
      <x:c r="F45" s="1" t="n">
        <x:v>29</x:v>
      </x:c>
      <x:c r="G45" s="1" t="n">
        <x:v>336</x:v>
      </x:c>
      <x:c r="H45" s="1" t="n">
        <x:v>92</x:v>
      </x:c>
      <x:c r="I45" s="1" t="n">
        <x:v>0</x:v>
      </x:c>
      <x:c r="J45" s="12" t="n">
        <x:f>Model!M36</x:f>
        <x:v>0</x:v>
      </x:c>
      <x:c r="K45" s="12" t="n">
        <x:f>Model!O36</x:f>
        <x:v>119100</x:v>
      </x:c>
      <x:c r="L45" s="12" t="n">
        <x:f>Model!U36</x:f>
        <x:v>227945</x:v>
      </x:c>
      <x:c r="M45" s="12" t="n">
        <x:f>Model!V36</x:f>
        <x:v>-108845</x:v>
      </x:c>
    </x:row>
    <x:row r="46" ht="63" customHeight="1">
      <x:c r="A46" s="1" t="str">
        <x:v>2029-12</x:v>
      </x:c>
      <x:c r="B46" s="1" t="str">
        <x:v>Selective global scale</x:v>
      </x:c>
      <x:c r="C46" s="11" t="str">
        <x:v>Publish per-market quality scorecards.</x:v>
      </x:c>
      <x:c r="D46" s="11" t="str">
        <x:v>Target 350 firms, 100 companies and 10 buyer contracts.</x:v>
      </x:c>
      <x:c r="E46" s="11" t="str">
        <x:v>Reassess license renewals, royalties and rights.</x:v>
      </x:c>
      <x:c r="F46" s="1" t="n">
        <x:v>30</x:v>
      </x:c>
      <x:c r="G46" s="1" t="n">
        <x:v>350</x:v>
      </x:c>
      <x:c r="H46" s="1" t="n">
        <x:v>100</x:v>
      </x:c>
      <x:c r="I46" s="1" t="n">
        <x:v>0</x:v>
      </x:c>
      <x:c r="J46" s="12" t="n">
        <x:f>Model!M37</x:f>
        <x:v>0</x:v>
      </x:c>
      <x:c r="K46" s="12" t="n">
        <x:f>Model!O37</x:f>
        <x:v>127000</x:v>
      </x:c>
      <x:c r="L46" s="12" t="n">
        <x:f>Model!U37</x:f>
        <x:v>237560</x:v>
      </x:c>
      <x:c r="M46" s="12" t="n">
        <x:f>Model!V37</x:f>
        <x:v>-110560</x:v>
      </x:c>
    </x:row>
    <x:row r="47" ht="63" customHeight="1">
      <x:c r="A47" s="1" t="str">
        <x:v>2030-01</x:v>
      </x:c>
      <x:c r="B47" s="1" t="str">
        <x:v>Selective global scale</x:v>
      </x:c>
      <x:c r="C47" s="11" t="str">
        <x:v>Extend language coverage through tested modules.</x:v>
      </x:c>
      <x:c r="D47" s="11" t="str">
        <x:v>Open new markets only after local legal review.</x:v>
      </x:c>
      <x:c r="E47" s="11" t="str">
        <x:v>Add multilingual annotation and benchmark partners.</x:v>
      </x:c>
      <x:c r="F47" s="1" t="n">
        <x:v>30</x:v>
      </x:c>
      <x:c r="G47" s="1" t="n">
        <x:v>350</x:v>
      </x:c>
      <x:c r="H47" s="1" t="n">
        <x:v>100</x:v>
      </x:c>
      <x:c r="I47" s="1" t="n">
        <x:v>2</x:v>
      </x:c>
      <x:c r="J47" s="12" t="n">
        <x:f>Model!M38</x:f>
        <x:v>1000000</x:v>
      </x:c>
      <x:c r="K47" s="12" t="n">
        <x:f>Model!O38</x:f>
        <x:v>1183000</x:v>
      </x:c>
      <x:c r="L47" s="12" t="n">
        <x:f>Model!U38</x:f>
        <x:v>828792</x:v>
      </x:c>
      <x:c r="M47" s="12" t="n">
        <x:f>Model!V38</x:f>
        <x:v>354208</x:v>
      </x:c>
    </x:row>
    <x:row r="48" ht="63" customHeight="1">
      <x:c r="A48" s="1" t="str">
        <x:v>2030-02</x:v>
      </x:c>
      <x:c r="B48" s="1" t="str">
        <x:v>Selective global scale</x:v>
      </x:c>
      <x:c r="C48" s="11" t="str">
        <x:v>Extend language coverage through tested modules.</x:v>
      </x:c>
      <x:c r="D48" s="11" t="str">
        <x:v>Open new markets only after local legal review.</x:v>
      </x:c>
      <x:c r="E48" s="11" t="str">
        <x:v>Add multilingual annotation and benchmark partners.</x:v>
      </x:c>
      <x:c r="F48" s="1" t="n">
        <x:v>32</x:v>
      </x:c>
      <x:c r="G48" s="1" t="n">
        <x:v>373</x:v>
      </x:c>
      <x:c r="H48" s="1" t="n">
        <x:v>123</x:v>
      </x:c>
      <x:c r="I48" s="1" t="n">
        <x:v>2</x:v>
      </x:c>
      <x:c r="J48" s="12" t="n">
        <x:f>Model!M39</x:f>
        <x:v>1000000</x:v>
      </x:c>
      <x:c r="K48" s="12" t="n">
        <x:f>Model!O39</x:f>
        <x:v>1210800</x:v>
      </x:c>
      <x:c r="L48" s="12" t="n">
        <x:f>Model!U39</x:f>
        <x:v>853414</x:v>
      </x:c>
      <x:c r="M48" s="12" t="n">
        <x:f>Model!V39</x:f>
        <x:v>357386</x:v>
      </x:c>
    </x:row>
    <x:row r="49" ht="63" customHeight="1">
      <x:c r="A49" s="1" t="str">
        <x:v>2030-03</x:v>
      </x:c>
      <x:c r="B49" s="1" t="str">
        <x:v>Selective global scale</x:v>
      </x:c>
      <x:c r="C49" s="11" t="str">
        <x:v>Extend language coverage through tested modules.</x:v>
      </x:c>
      <x:c r="D49" s="11" t="str">
        <x:v>Open new markets only after local legal review.</x:v>
      </x:c>
      <x:c r="E49" s="11" t="str">
        <x:v>Add multilingual annotation and benchmark partners.</x:v>
      </x:c>
      <x:c r="F49" s="1" t="n">
        <x:v>33</x:v>
      </x:c>
      <x:c r="G49" s="1" t="n">
        <x:v>395</x:v>
      </x:c>
      <x:c r="H49" s="1" t="n">
        <x:v>145</x:v>
      </x:c>
      <x:c r="I49" s="1" t="n">
        <x:v>2</x:v>
      </x:c>
      <x:c r="J49" s="12" t="n">
        <x:f>Model!M40</x:f>
        <x:v>1000000</x:v>
      </x:c>
      <x:c r="K49" s="12" t="n">
        <x:f>Model!O40</x:f>
        <x:v>1237000</x:v>
      </x:c>
      <x:c r="L49" s="12" t="n">
        <x:f>Model!U40</x:f>
        <x:v>872595</x:v>
      </x:c>
      <x:c r="M49" s="12" t="n">
        <x:f>Model!V40</x:f>
        <x:v>364405</x:v>
      </x:c>
    </x:row>
    <x:row r="50" ht="63" customHeight="1">
      <x:c r="A50" s="1" t="str">
        <x:v>2030-04</x:v>
      </x:c>
      <x:c r="B50" s="1" t="str">
        <x:v>Selective global scale</x:v>
      </x:c>
      <x:c r="C50" s="11" t="str">
        <x:v>Improve regional deployment and observability.</x:v>
      </x:c>
      <x:c r="D50" s="11" t="str">
        <x:v>Scale enterprise procurement and customer success.</x:v>
      </x:c>
      <x:c r="E50" s="11" t="str">
        <x:v>License refreshed, rights-cleared evaluation sets.</x:v>
      </x:c>
      <x:c r="F50" s="1" t="n">
        <x:v>35</x:v>
      </x:c>
      <x:c r="G50" s="1" t="n">
        <x:v>418</x:v>
      </x:c>
      <x:c r="H50" s="1" t="n">
        <x:v>168</x:v>
      </x:c>
      <x:c r="I50" s="1" t="n">
        <x:v>2</x:v>
      </x:c>
      <x:c r="J50" s="12" t="n">
        <x:f>Model!M41</x:f>
        <x:v>1000000</x:v>
      </x:c>
      <x:c r="K50" s="12" t="n">
        <x:f>Model!O41</x:f>
        <x:v>1264800</x:v>
      </x:c>
      <x:c r="L50" s="12" t="n">
        <x:f>Model!U41</x:f>
        <x:v>897217</x:v>
      </x:c>
      <x:c r="M50" s="12" t="n">
        <x:f>Model!V41</x:f>
        <x:v>367583</x:v>
      </x:c>
    </x:row>
    <x:row r="51" ht="63" customHeight="1">
      <x:c r="A51" s="1" t="str">
        <x:v>2030-05</x:v>
      </x:c>
      <x:c r="B51" s="1" t="str">
        <x:v>Selective global scale</x:v>
      </x:c>
      <x:c r="C51" s="11" t="str">
        <x:v>Improve regional deployment and observability.</x:v>
      </x:c>
      <x:c r="D51" s="11" t="str">
        <x:v>Scale enterprise procurement and customer success.</x:v>
      </x:c>
      <x:c r="E51" s="11" t="str">
        <x:v>License refreshed, rights-cleared evaluation sets.</x:v>
      </x:c>
      <x:c r="F51" s="1" t="n">
        <x:v>37</x:v>
      </x:c>
      <x:c r="G51" s="1" t="n">
        <x:v>441</x:v>
      </x:c>
      <x:c r="H51" s="1" t="n">
        <x:v>191</x:v>
      </x:c>
      <x:c r="I51" s="1" t="n">
        <x:v>2</x:v>
      </x:c>
      <x:c r="J51" s="12" t="n">
        <x:f>Model!M42</x:f>
        <x:v>1000000</x:v>
      </x:c>
      <x:c r="K51" s="12" t="n">
        <x:f>Model!O42</x:f>
        <x:v>1292600</x:v>
      </x:c>
      <x:c r="L51" s="12" t="n">
        <x:f>Model!U42</x:f>
        <x:v>921839</x:v>
      </x:c>
      <x:c r="M51" s="12" t="n">
        <x:f>Model!V42</x:f>
        <x:v>370761</x:v>
      </x:c>
    </x:row>
    <x:row r="52" ht="63" customHeight="1">
      <x:c r="A52" s="1" t="str">
        <x:v>2030-06</x:v>
      </x:c>
      <x:c r="B52" s="1" t="str">
        <x:v>Selective global scale</x:v>
      </x:c>
      <x:c r="C52" s="11" t="str">
        <x:v>Improve regional deployment and observability.</x:v>
      </x:c>
      <x:c r="D52" s="11" t="str">
        <x:v>Scale enterprise procurement and customer success.</x:v>
      </x:c>
      <x:c r="E52" s="11" t="str">
        <x:v>License refreshed, rights-cleared evaluation sets.</x:v>
      </x:c>
      <x:c r="F52" s="1" t="n">
        <x:v>38</x:v>
      </x:c>
      <x:c r="G52" s="1" t="n">
        <x:v>464</x:v>
      </x:c>
      <x:c r="H52" s="1" t="n">
        <x:v>214</x:v>
      </x:c>
      <x:c r="I52" s="1" t="n">
        <x:v>2</x:v>
      </x:c>
      <x:c r="J52" s="12" t="n">
        <x:f>Model!M43</x:f>
        <x:v>1000000</x:v>
      </x:c>
      <x:c r="K52" s="12" t="n">
        <x:f>Model!O43</x:f>
        <x:v>1319900</x:v>
      </x:c>
      <x:c r="L52" s="12" t="n">
        <x:f>Model!U43</x:f>
        <x:v>941660</x:v>
      </x:c>
      <x:c r="M52" s="12" t="n">
        <x:f>Model!V43</x:f>
        <x:v>378240</x:v>
      </x:c>
    </x:row>
    <x:row r="53" ht="63" customHeight="1">
      <x:c r="A53" s="1" t="str">
        <x:v>2030-07</x:v>
      </x:c>
      <x:c r="B53" s="1" t="str">
        <x:v>Selective global scale</x:v>
      </x:c>
      <x:c r="C53" s="11" t="str">
        <x:v>Automate provenance and quality reporting.</x:v>
      </x:c>
      <x:c r="D53" s="11" t="str">
        <x:v>Measure retention and margin by geography.</x:v>
      </x:c>
      <x:c r="E53" s="11" t="str">
        <x:v>Diversify approved lab buyers and research use cases.</x:v>
      </x:c>
      <x:c r="F53" s="1" t="n">
        <x:v>40</x:v>
      </x:c>
      <x:c r="G53" s="1" t="n">
        <x:v>486</x:v>
      </x:c>
      <x:c r="H53" s="1" t="n">
        <x:v>236</x:v>
      </x:c>
      <x:c r="I53" s="1" t="n">
        <x:v>2</x:v>
      </x:c>
      <x:c r="J53" s="12" t="n">
        <x:f>Model!M44</x:f>
        <x:v>1000000</x:v>
      </x:c>
      <x:c r="K53" s="12" t="n">
        <x:f>Model!O44</x:f>
        <x:v>1346600</x:v>
      </x:c>
      <x:c r="L53" s="12" t="n">
        <x:f>Model!U44</x:f>
        <x:v>965641</x:v>
      </x:c>
      <x:c r="M53" s="12" t="n">
        <x:f>Model!V44</x:f>
        <x:v>380959</x:v>
      </x:c>
    </x:row>
    <x:row r="54" ht="63" customHeight="1">
      <x:c r="A54" s="1" t="str">
        <x:v>2030-08</x:v>
      </x:c>
      <x:c r="B54" s="1" t="str">
        <x:v>Selective global scale</x:v>
      </x:c>
      <x:c r="C54" s="11" t="str">
        <x:v>Automate provenance and quality reporting.</x:v>
      </x:c>
      <x:c r="D54" s="11" t="str">
        <x:v>Measure retention and margin by geography.</x:v>
      </x:c>
      <x:c r="E54" s="11" t="str">
        <x:v>Diversify approved lab buyers and research use cases.</x:v>
      </x:c>
      <x:c r="F54" s="1" t="n">
        <x:v>41</x:v>
      </x:c>
      <x:c r="G54" s="1" t="n">
        <x:v>509</x:v>
      </x:c>
      <x:c r="H54" s="1" t="n">
        <x:v>259</x:v>
      </x:c>
      <x:c r="I54" s="1" t="n">
        <x:v>2</x:v>
      </x:c>
      <x:c r="J54" s="12" t="n">
        <x:f>Model!M45</x:f>
        <x:v>1000000</x:v>
      </x:c>
      <x:c r="K54" s="12" t="n">
        <x:f>Model!O45</x:f>
        <x:v>1374400</x:v>
      </x:c>
      <x:c r="L54" s="12" t="n">
        <x:f>Model!U45</x:f>
        <x:v>985562</x:v>
      </x:c>
      <x:c r="M54" s="12" t="n">
        <x:f>Model!V45</x:f>
        <x:v>388838</x:v>
      </x:c>
    </x:row>
    <x:row r="55" ht="63" customHeight="1">
      <x:c r="A55" s="1" t="str">
        <x:v>2030-09</x:v>
      </x:c>
      <x:c r="B55" s="1" t="str">
        <x:v>Selective global scale</x:v>
      </x:c>
      <x:c r="C55" s="11" t="str">
        <x:v>Automate provenance and quality reporting.</x:v>
      </x:c>
      <x:c r="D55" s="11" t="str">
        <x:v>Measure retention and margin by geography.</x:v>
      </x:c>
      <x:c r="E55" s="11" t="str">
        <x:v>Diversify approved lab buyers and research use cases.</x:v>
      </x:c>
      <x:c r="F55" s="1" t="n">
        <x:v>43</x:v>
      </x:c>
      <x:c r="G55" s="1" t="n">
        <x:v>532</x:v>
      </x:c>
      <x:c r="H55" s="1" t="n">
        <x:v>282</x:v>
      </x:c>
      <x:c r="I55" s="1" t="n">
        <x:v>2</x:v>
      </x:c>
      <x:c r="J55" s="12" t="n">
        <x:f>Model!M46</x:f>
        <x:v>1000000</x:v>
      </x:c>
      <x:c r="K55" s="12" t="n">
        <x:f>Model!O46</x:f>
        <x:v>1401700</x:v>
      </x:c>
      <x:c r="L55" s="12" t="n">
        <x:f>Model!U46</x:f>
        <x:v>1010082</x:v>
      </x:c>
      <x:c r="M55" s="12" t="n">
        <x:f>Model!V46</x:f>
        <x:v>391618</x:v>
      </x:c>
    </x:row>
    <x:row r="56" ht="63" customHeight="1">
      <x:c r="A56" s="1" t="str">
        <x:v>2030-10</x:v>
      </x:c>
      <x:c r="B56" s="1" t="str">
        <x:v>Selective global scale</x:v>
      </x:c>
      <x:c r="C56" s="11" t="str">
        <x:v>Audit model drift and cross-border controls.</x:v>
      </x:c>
      <x:c r="D56" s="11" t="str">
        <x:v>Target 600 firms, 350 companies and 22 buyer contracts.</x:v>
      </x:c>
      <x:c r="E56" s="11" t="str">
        <x:v>Review royalty commitments and data catalog quality.</x:v>
      </x:c>
      <x:c r="F56" s="1" t="n">
        <x:v>45</x:v>
      </x:c>
      <x:c r="G56" s="1" t="n">
        <x:v>555</x:v>
      </x:c>
      <x:c r="H56" s="1" t="n">
        <x:v>305</x:v>
      </x:c>
      <x:c r="I56" s="1" t="n">
        <x:v>2</x:v>
      </x:c>
      <x:c r="J56" s="12" t="n">
        <x:f>Model!M47</x:f>
        <x:v>1000000</x:v>
      </x:c>
      <x:c r="K56" s="12" t="n">
        <x:f>Model!O47</x:f>
        <x:v>1429500</x:v>
      </x:c>
      <x:c r="L56" s="12" t="n">
        <x:f>Model!U47</x:f>
        <x:v>1034705</x:v>
      </x:c>
      <x:c r="M56" s="12" t="n">
        <x:f>Model!V47</x:f>
        <x:v>394795</x:v>
      </x:c>
    </x:row>
    <x:row r="57" ht="63" customHeight="1">
      <x:c r="A57" s="1" t="str">
        <x:v>2030-11</x:v>
      </x:c>
      <x:c r="B57" s="1" t="str">
        <x:v>Selective global scale</x:v>
      </x:c>
      <x:c r="C57" s="11" t="str">
        <x:v>Audit model drift and cross-border controls.</x:v>
      </x:c>
      <x:c r="D57" s="11" t="str">
        <x:v>Target 600 firms, 350 companies and 22 buyer contracts.</x:v>
      </x:c>
      <x:c r="E57" s="11" t="str">
        <x:v>Review royalty commitments and data catalog quality.</x:v>
      </x:c>
      <x:c r="F57" s="1" t="n">
        <x:v>46</x:v>
      </x:c>
      <x:c r="G57" s="1" t="n">
        <x:v>577</x:v>
      </x:c>
      <x:c r="H57" s="1" t="n">
        <x:v>327</x:v>
      </x:c>
      <x:c r="I57" s="1" t="n">
        <x:v>1</x:v>
      </x:c>
      <x:c r="J57" s="12" t="n">
        <x:f>Model!M48</x:f>
        <x:v>500000</x:v>
      </x:c>
      <x:c r="K57" s="12" t="n">
        <x:f>Model!O48</x:f>
        <x:v>956200</x:v>
      </x:c>
      <x:c r="L57" s="12" t="n">
        <x:f>Model!U48</x:f>
        <x:v>778986</x:v>
      </x:c>
      <x:c r="M57" s="12" t="n">
        <x:f>Model!V48</x:f>
        <x:v>177214</x:v>
      </x:c>
    </x:row>
    <x:row r="58" ht="63" customHeight="1">
      <x:c r="A58" s="1" t="str">
        <x:v>2030-12</x:v>
      </x:c>
      <x:c r="B58" s="1" t="str">
        <x:v>Selective global scale</x:v>
      </x:c>
      <x:c r="C58" s="11" t="str">
        <x:v>Audit model drift and cross-border controls.</x:v>
      </x:c>
      <x:c r="D58" s="11" t="str">
        <x:v>Target 600 firms, 350 companies and 22 buyer contracts.</x:v>
      </x:c>
      <x:c r="E58" s="11" t="str">
        <x:v>Review royalty commitments and data catalog quality.</x:v>
      </x:c>
      <x:c r="F58" s="1" t="n">
        <x:v>48</x:v>
      </x:c>
      <x:c r="G58" s="1" t="n">
        <x:v>600</x:v>
      </x:c>
      <x:c r="H58" s="1" t="n">
        <x:v>350</x:v>
      </x:c>
      <x:c r="I58" s="1" t="n">
        <x:v>1</x:v>
      </x:c>
      <x:c r="J58" s="12" t="n">
        <x:f>Model!M49</x:f>
        <x:v>500000</x:v>
      </x:c>
      <x:c r="K58" s="12" t="n">
        <x:f>Model!O49</x:f>
        <x:v>983500</x:v>
      </x:c>
      <x:c r="L58" s="12" t="n">
        <x:f>Model!U49</x:f>
        <x:v>803507</x:v>
      </x:c>
      <x:c r="M58" s="12" t="n">
        <x:f>Model!V49</x:f>
        <x:v>179993</x:v>
      </x:c>
    </x:row>
    <x:row r="59" ht="63" customHeight="1">
      <x:c r="A59" s="1" t="str">
        <x:v>2031-01</x:v>
      </x:c>
      <x:c r="B59" s="1" t="str">
        <x:v>Selective global scale</x:v>
      </x:c>
      <x:c r="C59" s="11" t="str">
        <x:v>Standardize product localization and regional controls.</x:v>
      </x:c>
      <x:c r="D59" s="11" t="str">
        <x:v>Prioritize proven regional channels.</x:v>
      </x:c>
      <x:c r="E59" s="11" t="str">
        <x:v>Expand independent legal evaluation network.</x:v>
      </x:c>
      <x:c r="F59" s="1" t="n">
        <x:v>48</x:v>
      </x:c>
      <x:c r="G59" s="1" t="n">
        <x:v>600</x:v>
      </x:c>
      <x:c r="H59" s="1" t="n">
        <x:v>350</x:v>
      </x:c>
      <x:c r="I59" s="1" t="n">
        <x:v>4</x:v>
      </x:c>
      <x:c r="J59" s="12" t="n">
        <x:f>Model!M50</x:f>
        <x:v>3000000</x:v>
      </x:c>
      <x:c r="K59" s="12" t="n">
        <x:f>Model!O50</x:f>
        <x:v>3478000</x:v>
      </x:c>
      <x:c r="L59" s="12" t="n">
        <x:f>Model!U50</x:f>
        <x:v>2236929</x:v>
      </x:c>
      <x:c r="M59" s="12" t="n">
        <x:f>Model!V50</x:f>
        <x:v>1241071</x:v>
      </x:c>
    </x:row>
    <x:row r="60" ht="63" customHeight="1">
      <x:c r="A60" s="1" t="str">
        <x:v>2031-02</x:v>
      </x:c>
      <x:c r="B60" s="1" t="str">
        <x:v>Selective global scale</x:v>
      </x:c>
      <x:c r="C60" s="11" t="str">
        <x:v>Standardize product localization and regional controls.</x:v>
      </x:c>
      <x:c r="D60" s="11" t="str">
        <x:v>Prioritize proven regional channels.</x:v>
      </x:c>
      <x:c r="E60" s="11" t="str">
        <x:v>Expand independent legal evaluation network.</x:v>
      </x:c>
      <x:c r="F60" s="1" t="n">
        <x:v>50</x:v>
      </x:c>
      <x:c r="G60" s="1" t="n">
        <x:v>636</x:v>
      </x:c>
      <x:c r="H60" s="1" t="n">
        <x:v>409</x:v>
      </x:c>
      <x:c r="I60" s="1" t="n">
        <x:v>4</x:v>
      </x:c>
      <x:c r="J60" s="12" t="n">
        <x:f>Model!M51</x:f>
        <x:v>3000000</x:v>
      </x:c>
      <x:c r="K60" s="12" t="n">
        <x:f>Model!O51</x:f>
        <x:v>3542100</x:v>
      </x:c>
      <x:c r="L60" s="12" t="n">
        <x:f>Model!U51</x:f>
        <x:v>2283759</x:v>
      </x:c>
      <x:c r="M60" s="12" t="n">
        <x:f>Model!V51</x:f>
        <x:v>1258341</x:v>
      </x:c>
    </x:row>
    <x:row r="61" ht="63" customHeight="1">
      <x:c r="A61" s="1" t="str">
        <x:v>2031-03</x:v>
      </x:c>
      <x:c r="B61" s="1" t="str">
        <x:v>Selective global scale</x:v>
      </x:c>
      <x:c r="C61" s="11" t="str">
        <x:v>Standardize product localization and regional controls.</x:v>
      </x:c>
      <x:c r="D61" s="11" t="str">
        <x:v>Prioritize proven regional channels.</x:v>
      </x:c>
      <x:c r="E61" s="11" t="str">
        <x:v>Expand independent legal evaluation network.</x:v>
      </x:c>
      <x:c r="F61" s="1" t="n">
        <x:v>53</x:v>
      </x:c>
      <x:c r="G61" s="1" t="n">
        <x:v>673</x:v>
      </x:c>
      <x:c r="H61" s="1" t="n">
        <x:v>468</x:v>
      </x:c>
      <x:c r="I61" s="1" t="n">
        <x:v>4</x:v>
      </x:c>
      <x:c r="J61" s="12" t="n">
        <x:f>Model!M52</x:f>
        <x:v>3000000</x:v>
      </x:c>
      <x:c r="K61" s="12" t="n">
        <x:f>Model!O52</x:f>
        <x:v>3606800</x:v>
      </x:c>
      <x:c r="L61" s="12" t="n">
        <x:f>Model!U52</x:f>
        <x:v>2336199</x:v>
      </x:c>
      <x:c r="M61" s="12" t="n">
        <x:f>Model!V52</x:f>
        <x:v>1270601</x:v>
      </x:c>
    </x:row>
    <x:row r="62" ht="63" customHeight="1">
      <x:c r="A62" s="1" t="str">
        <x:v>2031-04</x:v>
      </x:c>
      <x:c r="B62" s="1" t="str">
        <x:v>Selective global scale</x:v>
      </x:c>
      <x:c r="C62" s="11" t="str">
        <x:v>Scale enterprise integrations and reliability.</x:v>
      </x:c>
      <x:c r="D62" s="11" t="str">
        <x:v>Operate localized support with accountable owners.</x:v>
      </x:c>
      <x:c r="E62" s="11" t="str">
        <x:v>Refresh benchmark and synthetic data catalogues.</x:v>
      </x:c>
      <x:c r="F62" s="1" t="n">
        <x:v>55</x:v>
      </x:c>
      <x:c r="G62" s="1" t="n">
        <x:v>709</x:v>
      </x:c>
      <x:c r="H62" s="1" t="n">
        <x:v>527</x:v>
      </x:c>
      <x:c r="I62" s="1" t="n">
        <x:v>4</x:v>
      </x:c>
      <x:c r="J62" s="12" t="n">
        <x:f>Model!M53</x:f>
        <x:v>3000000</x:v>
      </x:c>
      <x:c r="K62" s="12" t="n">
        <x:f>Model!O53</x:f>
        <x:v>3671400</x:v>
      </x:c>
      <x:c r="L62" s="12" t="n">
        <x:f>Model!U53</x:f>
        <x:v>2383129</x:v>
      </x:c>
      <x:c r="M62" s="12" t="n">
        <x:f>Model!V53</x:f>
        <x:v>1288271</x:v>
      </x:c>
    </x:row>
    <x:row r="63" ht="63" customHeight="1">
      <x:c r="A63" s="1" t="str">
        <x:v>2031-05</x:v>
      </x:c>
      <x:c r="B63" s="1" t="str">
        <x:v>Selective global scale</x:v>
      </x:c>
      <x:c r="C63" s="11" t="str">
        <x:v>Scale enterprise integrations and reliability.</x:v>
      </x:c>
      <x:c r="D63" s="11" t="str">
        <x:v>Operate localized support with accountable owners.</x:v>
      </x:c>
      <x:c r="E63" s="11" t="str">
        <x:v>Refresh benchmark and synthetic data catalogues.</x:v>
      </x:c>
      <x:c r="F63" s="1" t="n">
        <x:v>58</x:v>
      </x:c>
      <x:c r="G63" s="1" t="n">
        <x:v>745</x:v>
      </x:c>
      <x:c r="H63" s="1" t="n">
        <x:v>586</x:v>
      </x:c>
      <x:c r="I63" s="1" t="n">
        <x:v>3</x:v>
      </x:c>
      <x:c r="J63" s="12" t="n">
        <x:f>Model!M54</x:f>
        <x:v>2250000</x:v>
      </x:c>
      <x:c r="K63" s="12" t="n">
        <x:f>Model!O54</x:f>
        <x:v>2986000</x:v>
      </x:c>
      <x:c r="L63" s="12" t="n">
        <x:f>Model!U54</x:f>
        <x:v>2022981</x:v>
      </x:c>
      <x:c r="M63" s="12" t="n">
        <x:f>Model!V54</x:f>
        <x:v>963019</x:v>
      </x:c>
    </x:row>
    <x:row r="64" ht="63" customHeight="1">
      <x:c r="A64" s="1" t="str">
        <x:v>2031-06</x:v>
      </x:c>
      <x:c r="B64" s="1" t="str">
        <x:v>Selective global scale</x:v>
      </x:c>
      <x:c r="C64" s="11" t="str">
        <x:v>Scale enterprise integrations and reliability.</x:v>
      </x:c>
      <x:c r="D64" s="11" t="str">
        <x:v>Operate localized support with accountable owners.</x:v>
      </x:c>
      <x:c r="E64" s="11" t="str">
        <x:v>Refresh benchmark and synthetic data catalogues.</x:v>
      </x:c>
      <x:c r="F64" s="1" t="n">
        <x:v>60</x:v>
      </x:c>
      <x:c r="G64" s="1" t="n">
        <x:v>782</x:v>
      </x:c>
      <x:c r="H64" s="1" t="n">
        <x:v>645</x:v>
      </x:c>
      <x:c r="I64" s="1" t="n">
        <x:v>3</x:v>
      </x:c>
      <x:c r="J64" s="12" t="n">
        <x:f>Model!M55</x:f>
        <x:v>2250000</x:v>
      </x:c>
      <x:c r="K64" s="12" t="n">
        <x:f>Model!O55</x:f>
        <x:v>3050700</x:v>
      </x:c>
      <x:c r="L64" s="12" t="n">
        <x:f>Model!U55</x:f>
        <x:v>2070001</x:v>
      </x:c>
      <x:c r="M64" s="12" t="n">
        <x:f>Model!V55</x:f>
        <x:v>980699</x:v>
      </x:c>
    </x:row>
    <x:row r="65" ht="63" customHeight="1">
      <x:c r="A65" s="1" t="str">
        <x:v>2031-07</x:v>
      </x:c>
      <x:c r="B65" s="1" t="str">
        <x:v>Selective global scale</x:v>
      </x:c>
      <x:c r="C65" s="11" t="str">
        <x:v>Compare quality and usage across jurisdictions.</x:v>
      </x:c>
      <x:c r="D65" s="11" t="str">
        <x:v>Invest in retention before new market launches.</x:v>
      </x:c>
      <x:c r="E65" s="11" t="str">
        <x:v>Diversify buyers; verify recurring license demand.</x:v>
      </x:c>
      <x:c r="F65" s="1" t="n">
        <x:v>63</x:v>
      </x:c>
      <x:c r="G65" s="1" t="n">
        <x:v>818</x:v>
      </x:c>
      <x:c r="H65" s="1" t="n">
        <x:v>705</x:v>
      </x:c>
      <x:c r="I65" s="1" t="n">
        <x:v>3</x:v>
      </x:c>
      <x:c r="J65" s="12" t="n">
        <x:f>Model!M56</x:f>
        <x:v>2250000</x:v>
      </x:c>
      <x:c r="K65" s="12" t="n">
        <x:f>Model!O56</x:f>
        <x:v>3115800</x:v>
      </x:c>
      <x:c r="L65" s="12" t="n">
        <x:f>Model!U56</x:f>
        <x:v>2122801</x:v>
      </x:c>
      <x:c r="M65" s="12" t="n">
        <x:f>Model!V56</x:f>
        <x:v>992999</x:v>
      </x:c>
    </x:row>
    <x:row r="66" ht="63" customHeight="1">
      <x:c r="A66" s="1" t="str">
        <x:v>2031-08</x:v>
      </x:c>
      <x:c r="B66" s="1" t="str">
        <x:v>Selective global scale</x:v>
      </x:c>
      <x:c r="C66" s="11" t="str">
        <x:v>Compare quality and usage across jurisdictions.</x:v>
      </x:c>
      <x:c r="D66" s="11" t="str">
        <x:v>Invest in retention before new market launches.</x:v>
      </x:c>
      <x:c r="E66" s="11" t="str">
        <x:v>Diversify buyers; verify recurring license demand.</x:v>
      </x:c>
      <x:c r="F66" s="1" t="n">
        <x:v>65</x:v>
      </x:c>
      <x:c r="G66" s="1" t="n">
        <x:v>855</x:v>
      </x:c>
      <x:c r="H66" s="1" t="n">
        <x:v>764</x:v>
      </x:c>
      <x:c r="I66" s="1" t="n">
        <x:v>3</x:v>
      </x:c>
      <x:c r="J66" s="12" t="n">
        <x:f>Model!M57</x:f>
        <x:v>2250000</x:v>
      </x:c>
      <x:c r="K66" s="12" t="n">
        <x:f>Model!O57</x:f>
        <x:v>3181000</x:v>
      </x:c>
      <x:c r="L66" s="12" t="n">
        <x:f>Model!U57</x:f>
        <x:v>2169921</x:v>
      </x:c>
      <x:c r="M66" s="12" t="n">
        <x:f>Model!V57</x:f>
        <x:v>1011079</x:v>
      </x:c>
    </x:row>
    <x:row r="67" ht="63" customHeight="1">
      <x:c r="A67" s="1" t="str">
        <x:v>2031-09</x:v>
      </x:c>
      <x:c r="B67" s="1" t="str">
        <x:v>Selective global scale</x:v>
      </x:c>
      <x:c r="C67" s="11" t="str">
        <x:v>Compare quality and usage across jurisdictions.</x:v>
      </x:c>
      <x:c r="D67" s="11" t="str">
        <x:v>Invest in retention before new market launches.</x:v>
      </x:c>
      <x:c r="E67" s="11" t="str">
        <x:v>Diversify buyers; verify recurring license demand.</x:v>
      </x:c>
      <x:c r="F67" s="1" t="n">
        <x:v>68</x:v>
      </x:c>
      <x:c r="G67" s="1" t="n">
        <x:v>891</x:v>
      </x:c>
      <x:c r="H67" s="1" t="n">
        <x:v>823</x:v>
      </x:c>
      <x:c r="I67" s="1" t="n">
        <x:v>3</x:v>
      </x:c>
      <x:c r="J67" s="12" t="n">
        <x:f>Model!M58</x:f>
        <x:v>2250000</x:v>
      </x:c>
      <x:c r="K67" s="12" t="n">
        <x:f>Model!O58</x:f>
        <x:v>3245100</x:v>
      </x:c>
      <x:c r="L67" s="12" t="n">
        <x:f>Model!U58</x:f>
        <x:v>2222170</x:v>
      </x:c>
      <x:c r="M67" s="12" t="n">
        <x:f>Model!V58</x:f>
        <x:v>1022930</x:v>
      </x:c>
    </x:row>
    <x:row r="68" ht="63" customHeight="1">
      <x:c r="A68" s="1" t="str">
        <x:v>2031-10</x:v>
      </x:c>
      <x:c r="B68" s="1" t="str">
        <x:v>Selective global scale</x:v>
      </x:c>
      <x:c r="C68" s="11" t="str">
        <x:v>Run global security, privacy and quality reviews.</x:v>
      </x:c>
      <x:c r="D68" s="11" t="str">
        <x:v>Target 1,000 firms, 1,000 companies and 40 buyer contracts.</x:v>
      </x:c>
      <x:c r="E68" s="11" t="str">
        <x:v>Revalidate data rights before every renewal.</x:v>
      </x:c>
      <x:c r="F68" s="1" t="n">
        <x:v>70</x:v>
      </x:c>
      <x:c r="G68" s="1" t="n">
        <x:v>927</x:v>
      </x:c>
      <x:c r="H68" s="1" t="n">
        <x:v>882</x:v>
      </x:c>
      <x:c r="I68" s="1" t="n">
        <x:v>3</x:v>
      </x:c>
      <x:c r="J68" s="12" t="n">
        <x:f>Model!M59</x:f>
        <x:v>2250000</x:v>
      </x:c>
      <x:c r="K68" s="12" t="n">
        <x:f>Model!O59</x:f>
        <x:v>3309700</x:v>
      </x:c>
      <x:c r="L68" s="12" t="n">
        <x:f>Model!U59</x:f>
        <x:v>2269100</x:v>
      </x:c>
      <x:c r="M68" s="12" t="n">
        <x:f>Model!V59</x:f>
        <x:v>1040600</x:v>
      </x:c>
    </x:row>
    <x:row r="69" ht="63" customHeight="1">
      <x:c r="A69" s="1" t="str">
        <x:v>2031-11</x:v>
      </x:c>
      <x:c r="B69" s="1" t="str">
        <x:v>Selective global scale</x:v>
      </x:c>
      <x:c r="C69" s="11" t="str">
        <x:v>Run global security, privacy and quality reviews.</x:v>
      </x:c>
      <x:c r="D69" s="11" t="str">
        <x:v>Target 1,000 firms, 1,000 companies and 40 buyer contracts.</x:v>
      </x:c>
      <x:c r="E69" s="11" t="str">
        <x:v>Revalidate data rights before every renewal.</x:v>
      </x:c>
      <x:c r="F69" s="1" t="n">
        <x:v>73</x:v>
      </x:c>
      <x:c r="G69" s="1" t="n">
        <x:v>964</x:v>
      </x:c>
      <x:c r="H69" s="1" t="n">
        <x:v>941</x:v>
      </x:c>
      <x:c r="I69" s="1" t="n">
        <x:v>3</x:v>
      </x:c>
      <x:c r="J69" s="12" t="n">
        <x:f>Model!M60</x:f>
        <x:v>2250000</x:v>
      </x:c>
      <x:c r="K69" s="12" t="n">
        <x:f>Model!O60</x:f>
        <x:v>3374400</x:v>
      </x:c>
      <x:c r="L69" s="12" t="n">
        <x:f>Model!U60</x:f>
        <x:v>2321540</x:v>
      </x:c>
      <x:c r="M69" s="12" t="n">
        <x:f>Model!V60</x:f>
        <x:v>1052860</x:v>
      </x:c>
    </x:row>
    <x:row r="70" ht="63" customHeight="1">
      <x:c r="A70" s="1" t="str">
        <x:v>2031-12</x:v>
      </x:c>
      <x:c r="B70" s="1" t="str">
        <x:v>Selective global scale</x:v>
      </x:c>
      <x:c r="C70" s="11" t="str">
        <x:v>Run global security, privacy and quality reviews.</x:v>
      </x:c>
      <x:c r="D70" s="11" t="str">
        <x:v>Target 1,000 firms, 1,000 companies and 40 buyer contracts.</x:v>
      </x:c>
      <x:c r="E70" s="11" t="str">
        <x:v>Revalidate data rights before every renewal.</x:v>
      </x:c>
      <x:c r="F70" s="1" t="n">
        <x:v>75</x:v>
      </x:c>
      <x:c r="G70" s="1" t="n">
        <x:v>1000</x:v>
      </x:c>
      <x:c r="H70" s="1" t="n">
        <x:v>1000</x:v>
      </x:c>
      <x:c r="I70" s="1" t="n">
        <x:v>3</x:v>
      </x:c>
      <x:c r="J70" s="12" t="n">
        <x:f>Model!M61</x:f>
        <x:v>2250000</x:v>
      </x:c>
      <x:c r="K70" s="12" t="n">
        <x:f>Model!O61</x:f>
        <x:v>3439000</x:v>
      </x:c>
      <x:c r="L70" s="12" t="n">
        <x:f>Model!U61</x:f>
        <x:v>2368470</x:v>
      </x:c>
      <x:c r="M70" s="12" t="n">
        <x:f>Model!V61</x:f>
        <x:v>1070530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29B4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</x:cols>
  <x:sheetData>
    <x:row r="1">
      <x:c r="A1" s="10" t="str">
        <x:v>Month</x:v>
      </x:c>
      <x:c r="B1" s="10" t="str">
        <x:v>Team</x:v>
      </x:c>
      <x:c r="C1" s="10" t="str">
        <x:v>Firms</x:v>
      </x:c>
      <x:c r="D1" s="10" t="str">
        <x:v>Companies</x:v>
      </x:c>
      <x:c r="E1" s="10" t="str">
        <x:v>License contracts</x:v>
      </x:c>
      <x:c r="F1" s="10" t="str">
        <x:v>License fee</x:v>
      </x:c>
      <x:c r="G1" s="10" t="str">
        <x:v>Marketplace orders</x:v>
      </x:c>
      <x:c r="H1" s="10" t="str">
        <x:v>Order value</x:v>
      </x:c>
      <x:c r="I1" s="10" t="str">
        <x:v>Engineering</x:v>
      </x:c>
      <x:c r="J1" s="10" t="str">
        <x:v>Sales</x:v>
      </x:c>
      <x:c r="K1" s="10" t="str">
        <x:v>Legal / admin</x:v>
      </x:c>
      <x:c r="L1" s="10" t="str">
        <x:v>Subscriptions</x:v>
      </x:c>
      <x:c r="M1" s="10" t="str">
        <x:v>Lab sales</x:v>
      </x:c>
      <x:c r="N1" s="10" t="str">
        <x:v>Commissions</x:v>
      </x:c>
      <x:c r="O1" s="10" t="str">
        <x:v>Revenue</x:v>
      </x:c>
      <x:c r="P1" s="10" t="str">
        <x:v>Service delivery</x:v>
      </x:c>
      <x:c r="Q1" s="10" t="str">
        <x:v>Lab share</x:v>
      </x:c>
      <x:c r="R1" s="10" t="str">
        <x:v>Data review</x:v>
      </x:c>
      <x:c r="S1" s="10" t="str">
        <x:v>Marketplace ops</x:v>
      </x:c>
      <x:c r="T1" s="10" t="str">
        <x:v>Fixed costs</x:v>
      </x:c>
      <x:c r="U1" s="10" t="str">
        <x:v>Expenses</x:v>
      </x:c>
      <x:c r="V1" s="10" t="str">
        <x:v>Result</x:v>
      </x:c>
    </x:row>
    <x:row r="2">
      <x:c r="A2" s="1" t="str">
        <x:v>2027-01</x:v>
      </x:c>
      <x:c r="B2" s="1" t="n">
        <x:v>4</x:v>
      </x:c>
      <x:c r="C2" s="1" t="n">
        <x:v>5</x:v>
      </x:c>
      <x:c r="D2" s="1" t="n">
        <x:v>0</x:v>
      </x:c>
      <x:c r="E2" s="1" t="n">
        <x:v>0</x:v>
      </x:c>
      <x:c r="F2" s="13" t="n">
        <x:v>25000</x:v>
      </x:c>
      <x:c r="G2" s="14" t="n">
        <x:v>0</x:v>
      </x:c>
      <x:c r="H2" s="1" t="n">
        <x:v>5000</x:v>
      </x:c>
      <x:c r="I2" s="12" t="n">
        <x:v>10127</x:v>
      </x:c>
      <x:c r="J2" s="12" t="n">
        <x:v>4051</x:v>
      </x:c>
      <x:c r="K2" s="12" t="n">
        <x:v>10000</x:v>
      </x:c>
      <x:c r="L2" s="12" t="n">
        <x:f>C2*100+D2*500</x:f>
        <x:v>500</x:v>
      </x:c>
      <x:c r="M2" s="12" t="n">
        <x:f>E2*F2</x:f>
        <x:v>0</x:v>
      </x:c>
      <x:c r="N2" s="12" t="n">
        <x:f>G2*H2*10%</x:f>
        <x:v>0</x:v>
      </x:c>
      <x:c r="O2" s="12" t="n">
        <x:f>SUM(L2:N2)</x:f>
        <x:v>500</x:v>
      </x:c>
      <x:c r="P2" s="12" t="n">
        <x:f>L2*90%</x:f>
        <x:v>450</x:v>
      </x:c>
      <x:c r="Q2" s="12" t="n">
        <x:f>M2*40%</x:f>
        <x:v>0</x:v>
      </x:c>
      <x:c r="R2" s="12" t="n">
        <x:f>M2*15%</x:f>
        <x:v>0</x:v>
      </x:c>
      <x:c r="S2" s="12" t="n">
        <x:f>N2*20%</x:f>
        <x:v>0</x:v>
      </x:c>
      <x:c r="T2" s="12" t="n">
        <x:f>SUM(I2:K2)</x:f>
        <x:v>24178</x:v>
      </x:c>
      <x:c r="U2" s="12" t="n">
        <x:f>SUM(P2:T2)</x:f>
        <x:v>24628</x:v>
      </x:c>
      <x:c r="V2" s="12" t="n">
        <x:f>O2-U2</x:f>
        <x:v>-24128</x:v>
      </x:c>
    </x:row>
    <x:row r="3">
      <x:c r="A3" s="1" t="str">
        <x:v>2027-02</x:v>
      </x:c>
      <x:c r="B3" s="1" t="n">
        <x:v>4</x:v>
      </x:c>
      <x:c r="C3" s="1" t="n">
        <x:v>12</x:v>
      </x:c>
      <x:c r="D3" s="1" t="n">
        <x:v>0</x:v>
      </x:c>
      <x:c r="E3" s="1" t="n">
        <x:v>0</x:v>
      </x:c>
      <x:c r="F3" s="13" t="n">
        <x:v>25000</x:v>
      </x:c>
      <x:c r="G3" s="14" t="n">
        <x:v>1</x:v>
      </x:c>
      <x:c r="H3" s="1" t="n">
        <x:v>5000</x:v>
      </x:c>
      <x:c r="I3" s="12" t="n">
        <x:v>10127</x:v>
      </x:c>
      <x:c r="J3" s="12" t="n">
        <x:v>4051</x:v>
      </x:c>
      <x:c r="K3" s="12" t="n">
        <x:v>10000</x:v>
      </x:c>
      <x:c r="L3" s="12" t="n">
        <x:f>C3*100+D3*500</x:f>
        <x:v>1200</x:v>
      </x:c>
      <x:c r="M3" s="12" t="n">
        <x:f>E3*F3</x:f>
        <x:v>0</x:v>
      </x:c>
      <x:c r="N3" s="12" t="n">
        <x:f>G3*H3*10%</x:f>
        <x:v>500</x:v>
      </x:c>
      <x:c r="O3" s="12" t="n">
        <x:f>SUM(L3:N3)</x:f>
        <x:v>1700</x:v>
      </x:c>
      <x:c r="P3" s="12" t="n">
        <x:f>L3*90%</x:f>
        <x:v>1080</x:v>
      </x:c>
      <x:c r="Q3" s="12" t="n">
        <x:f>M3*40%</x:f>
        <x:v>0</x:v>
      </x:c>
      <x:c r="R3" s="12" t="n">
        <x:f>M3*15%</x:f>
        <x:v>0</x:v>
      </x:c>
      <x:c r="S3" s="12" t="n">
        <x:f>N3*20%</x:f>
        <x:v>100</x:v>
      </x:c>
      <x:c r="T3" s="12" t="n">
        <x:f>SUM(I3:K3)</x:f>
        <x:v>24178</x:v>
      </x:c>
      <x:c r="U3" s="12" t="n">
        <x:f>SUM(P3:T3)</x:f>
        <x:v>25358</x:v>
      </x:c>
      <x:c r="V3" s="12" t="n">
        <x:f>O3-U3</x:f>
        <x:v>-23658</x:v>
      </x:c>
    </x:row>
    <x:row r="4">
      <x:c r="A4" s="1" t="str">
        <x:v>2027-03</x:v>
      </x:c>
      <x:c r="B4" s="1" t="n">
        <x:v>5</x:v>
      </x:c>
      <x:c r="C4" s="1" t="n">
        <x:v>20</x:v>
      </x:c>
      <x:c r="D4" s="1" t="n">
        <x:v>0</x:v>
      </x:c>
      <x:c r="E4" s="1" t="n">
        <x:v>0</x:v>
      </x:c>
      <x:c r="F4" s="13" t="n">
        <x:v>25000</x:v>
      </x:c>
      <x:c r="G4" s="14" t="n">
        <x:v>1</x:v>
      </x:c>
      <x:c r="H4" s="1" t="n">
        <x:v>5000</x:v>
      </x:c>
      <x:c r="I4" s="12" t="n">
        <x:v>12658</x:v>
      </x:c>
      <x:c r="J4" s="12" t="n">
        <x:v>5063</x:v>
      </x:c>
      <x:c r="K4" s="12" t="n">
        <x:v>10000</x:v>
      </x:c>
      <x:c r="L4" s="12" t="n">
        <x:f>C4*100+D4*500</x:f>
        <x:v>2000</x:v>
      </x:c>
      <x:c r="M4" s="12" t="n">
        <x:f>E4*F4</x:f>
        <x:v>0</x:v>
      </x:c>
      <x:c r="N4" s="12" t="n">
        <x:f>G4*H4*10%</x:f>
        <x:v>500</x:v>
      </x:c>
      <x:c r="O4" s="12" t="n">
        <x:f>SUM(L4:N4)</x:f>
        <x:v>2500</x:v>
      </x:c>
      <x:c r="P4" s="12" t="n">
        <x:f>L4*90%</x:f>
        <x:v>1800</x:v>
      </x:c>
      <x:c r="Q4" s="12" t="n">
        <x:f>M4*40%</x:f>
        <x:v>0</x:v>
      </x:c>
      <x:c r="R4" s="12" t="n">
        <x:f>M4*15%</x:f>
        <x:v>0</x:v>
      </x:c>
      <x:c r="S4" s="12" t="n">
        <x:f>N4*20%</x:f>
        <x:v>100</x:v>
      </x:c>
      <x:c r="T4" s="12" t="n">
        <x:f>SUM(I4:K4)</x:f>
        <x:v>27721</x:v>
      </x:c>
      <x:c r="U4" s="12" t="n">
        <x:f>SUM(P4:T4)</x:f>
        <x:v>29621</x:v>
      </x:c>
      <x:c r="V4" s="12" t="n">
        <x:f>O4-U4</x:f>
        <x:v>-27121</x:v>
      </x:c>
    </x:row>
    <x:row r="5">
      <x:c r="A5" s="1" t="str">
        <x:v>2027-04</x:v>
      </x:c>
      <x:c r="B5" s="1" t="n">
        <x:v>5</x:v>
      </x:c>
      <x:c r="C5" s="1" t="n">
        <x:v>28</x:v>
      </x:c>
      <x:c r="D5" s="1" t="n">
        <x:v>0</x:v>
      </x:c>
      <x:c r="E5" s="1" t="n">
        <x:v>0</x:v>
      </x:c>
      <x:c r="F5" s="13" t="n">
        <x:v>25000</x:v>
      </x:c>
      <x:c r="G5" s="14" t="n">
        <x:v>1</x:v>
      </x:c>
      <x:c r="H5" s="1" t="n">
        <x:v>5000</x:v>
      </x:c>
      <x:c r="I5" s="12" t="n">
        <x:v>12658</x:v>
      </x:c>
      <x:c r="J5" s="12" t="n">
        <x:v>5063</x:v>
      </x:c>
      <x:c r="K5" s="12" t="n">
        <x:v>10000</x:v>
      </x:c>
      <x:c r="L5" s="12" t="n">
        <x:f>C5*100+D5*500</x:f>
        <x:v>2800</x:v>
      </x:c>
      <x:c r="M5" s="12" t="n">
        <x:f>E5*F5</x:f>
        <x:v>0</x:v>
      </x:c>
      <x:c r="N5" s="12" t="n">
        <x:f>G5*H5*10%</x:f>
        <x:v>500</x:v>
      </x:c>
      <x:c r="O5" s="12" t="n">
        <x:f>SUM(L5:N5)</x:f>
        <x:v>3300</x:v>
      </x:c>
      <x:c r="P5" s="12" t="n">
        <x:f>L5*90%</x:f>
        <x:v>2520</x:v>
      </x:c>
      <x:c r="Q5" s="12" t="n">
        <x:f>M5*40%</x:f>
        <x:v>0</x:v>
      </x:c>
      <x:c r="R5" s="12" t="n">
        <x:f>M5*15%</x:f>
        <x:v>0</x:v>
      </x:c>
      <x:c r="S5" s="12" t="n">
        <x:f>N5*20%</x:f>
        <x:v>100</x:v>
      </x:c>
      <x:c r="T5" s="12" t="n">
        <x:f>SUM(I5:K5)</x:f>
        <x:v>27721</x:v>
      </x:c>
      <x:c r="U5" s="12" t="n">
        <x:f>SUM(P5:T5)</x:f>
        <x:v>30341</x:v>
      </x:c>
      <x:c r="V5" s="12" t="n">
        <x:f>O5-U5</x:f>
        <x:v>-27041</x:v>
      </x:c>
    </x:row>
    <x:row r="6">
      <x:c r="A6" s="1" t="str">
        <x:v>2027-05</x:v>
      </x:c>
      <x:c r="B6" s="1" t="n">
        <x:v>6</x:v>
      </x:c>
      <x:c r="C6" s="1" t="n">
        <x:v>36</x:v>
      </x:c>
      <x:c r="D6" s="1" t="n">
        <x:v>0</x:v>
      </x:c>
      <x:c r="E6" s="1" t="n">
        <x:v>0</x:v>
      </x:c>
      <x:c r="F6" s="13" t="n">
        <x:v>25000</x:v>
      </x:c>
      <x:c r="G6" s="14" t="n">
        <x:v>2</x:v>
      </x:c>
      <x:c r="H6" s="1" t="n">
        <x:v>5000</x:v>
      </x:c>
      <x:c r="I6" s="12" t="n">
        <x:v>15190</x:v>
      </x:c>
      <x:c r="J6" s="12" t="n">
        <x:v>6076</x:v>
      </x:c>
      <x:c r="K6" s="12" t="n">
        <x:v>10000</x:v>
      </x:c>
      <x:c r="L6" s="12" t="n">
        <x:f>C6*100+D6*500</x:f>
        <x:v>3600</x:v>
      </x:c>
      <x:c r="M6" s="12" t="n">
        <x:f>E6*F6</x:f>
        <x:v>0</x:v>
      </x:c>
      <x:c r="N6" s="12" t="n">
        <x:f>G6*H6*10%</x:f>
        <x:v>1000</x:v>
      </x:c>
      <x:c r="O6" s="12" t="n">
        <x:f>SUM(L6:N6)</x:f>
        <x:v>4600</x:v>
      </x:c>
      <x:c r="P6" s="12" t="n">
        <x:f>L6*90%</x:f>
        <x:v>3240</x:v>
      </x:c>
      <x:c r="Q6" s="12" t="n">
        <x:f>M6*40%</x:f>
        <x:v>0</x:v>
      </x:c>
      <x:c r="R6" s="12" t="n">
        <x:f>M6*15%</x:f>
        <x:v>0</x:v>
      </x:c>
      <x:c r="S6" s="12" t="n">
        <x:f>N6*20%</x:f>
        <x:v>200</x:v>
      </x:c>
      <x:c r="T6" s="12" t="n">
        <x:f>SUM(I6:K6)</x:f>
        <x:v>31266</x:v>
      </x:c>
      <x:c r="U6" s="12" t="n">
        <x:f>SUM(P6:T6)</x:f>
        <x:v>34706</x:v>
      </x:c>
      <x:c r="V6" s="12" t="n">
        <x:f>O6-U6</x:f>
        <x:v>-30106</x:v>
      </x:c>
    </x:row>
    <x:row r="7">
      <x:c r="A7" s="1" t="str">
        <x:v>2027-06</x:v>
      </x:c>
      <x:c r="B7" s="1" t="n">
        <x:v>6</x:v>
      </x:c>
      <x:c r="C7" s="1" t="n">
        <x:v>44</x:v>
      </x:c>
      <x:c r="D7" s="1" t="n">
        <x:v>0</x:v>
      </x:c>
      <x:c r="E7" s="1" t="n">
        <x:v>0</x:v>
      </x:c>
      <x:c r="F7" s="13" t="n">
        <x:v>25000</x:v>
      </x:c>
      <x:c r="G7" s="14" t="n">
        <x:v>2</x:v>
      </x:c>
      <x:c r="H7" s="1" t="n">
        <x:v>5000</x:v>
      </x:c>
      <x:c r="I7" s="12" t="n">
        <x:v>15190</x:v>
      </x:c>
      <x:c r="J7" s="12" t="n">
        <x:v>6076</x:v>
      </x:c>
      <x:c r="K7" s="12" t="n">
        <x:v>10000</x:v>
      </x:c>
      <x:c r="L7" s="12" t="n">
        <x:f>C7*100+D7*500</x:f>
        <x:v>4400</x:v>
      </x:c>
      <x:c r="M7" s="12" t="n">
        <x:f>E7*F7</x:f>
        <x:v>0</x:v>
      </x:c>
      <x:c r="N7" s="12" t="n">
        <x:f>G7*H7*10%</x:f>
        <x:v>1000</x:v>
      </x:c>
      <x:c r="O7" s="12" t="n">
        <x:f>SUM(L7:N7)</x:f>
        <x:v>5400</x:v>
      </x:c>
      <x:c r="P7" s="12" t="n">
        <x:f>L7*90%</x:f>
        <x:v>3960</x:v>
      </x:c>
      <x:c r="Q7" s="12" t="n">
        <x:f>M7*40%</x:f>
        <x:v>0</x:v>
      </x:c>
      <x:c r="R7" s="12" t="n">
        <x:f>M7*15%</x:f>
        <x:v>0</x:v>
      </x:c>
      <x:c r="S7" s="12" t="n">
        <x:f>N7*20%</x:f>
        <x:v>200</x:v>
      </x:c>
      <x:c r="T7" s="12" t="n">
        <x:f>SUM(I7:K7)</x:f>
        <x:v>31266</x:v>
      </x:c>
      <x:c r="U7" s="12" t="n">
        <x:f>SUM(P7:T7)</x:f>
        <x:v>35426</x:v>
      </x:c>
      <x:c r="V7" s="12" t="n">
        <x:f>O7-U7</x:f>
        <x:v>-30026</x:v>
      </x:c>
    </x:row>
    <x:row r="8">
      <x:c r="A8" s="1" t="str">
        <x:v>2027-07</x:v>
      </x:c>
      <x:c r="B8" s="1" t="n">
        <x:v>7</x:v>
      </x:c>
      <x:c r="C8" s="1" t="n">
        <x:v>52</x:v>
      </x:c>
      <x:c r="D8" s="1" t="n">
        <x:v>0</x:v>
      </x:c>
      <x:c r="E8" s="1" t="n">
        <x:v>0</x:v>
      </x:c>
      <x:c r="F8" s="13" t="n">
        <x:v>25000</x:v>
      </x:c>
      <x:c r="G8" s="14" t="n">
        <x:v>3</x:v>
      </x:c>
      <x:c r="H8" s="1" t="n">
        <x:v>5000</x:v>
      </x:c>
      <x:c r="I8" s="12" t="n">
        <x:v>17722</x:v>
      </x:c>
      <x:c r="J8" s="12" t="n">
        <x:v>7089</x:v>
      </x:c>
      <x:c r="K8" s="12" t="n">
        <x:v>10000</x:v>
      </x:c>
      <x:c r="L8" s="12" t="n">
        <x:f>C8*100+D8*500</x:f>
        <x:v>5200</x:v>
      </x:c>
      <x:c r="M8" s="12" t="n">
        <x:f>E8*F8</x:f>
        <x:v>0</x:v>
      </x:c>
      <x:c r="N8" s="12" t="n">
        <x:f>G8*H8*10%</x:f>
        <x:v>1500</x:v>
      </x:c>
      <x:c r="O8" s="12" t="n">
        <x:f>SUM(L8:N8)</x:f>
        <x:v>6700</x:v>
      </x:c>
      <x:c r="P8" s="12" t="n">
        <x:f>L8*90%</x:f>
        <x:v>4680</x:v>
      </x:c>
      <x:c r="Q8" s="12" t="n">
        <x:f>M8*40%</x:f>
        <x:v>0</x:v>
      </x:c>
      <x:c r="R8" s="12" t="n">
        <x:f>M8*15%</x:f>
        <x:v>0</x:v>
      </x:c>
      <x:c r="S8" s="12" t="n">
        <x:f>N8*20%</x:f>
        <x:v>300</x:v>
      </x:c>
      <x:c r="T8" s="12" t="n">
        <x:f>SUM(I8:K8)</x:f>
        <x:v>34811</x:v>
      </x:c>
      <x:c r="U8" s="12" t="n">
        <x:f>SUM(P8:T8)</x:f>
        <x:v>39791</x:v>
      </x:c>
      <x:c r="V8" s="12" t="n">
        <x:f>O8-U8</x:f>
        <x:v>-33091</x:v>
      </x:c>
    </x:row>
    <x:row r="9">
      <x:c r="A9" s="1" t="str">
        <x:v>2027-08</x:v>
      </x:c>
      <x:c r="B9" s="1" t="n">
        <x:v>7</x:v>
      </x:c>
      <x:c r="C9" s="1" t="n">
        <x:v>60</x:v>
      </x:c>
      <x:c r="D9" s="1" t="n">
        <x:v>0</x:v>
      </x:c>
      <x:c r="E9" s="1" t="n">
        <x:v>0</x:v>
      </x:c>
      <x:c r="F9" s="13" t="n">
        <x:v>25000</x:v>
      </x:c>
      <x:c r="G9" s="14" t="n">
        <x:v>3</x:v>
      </x:c>
      <x:c r="H9" s="1" t="n">
        <x:v>5000</x:v>
      </x:c>
      <x:c r="I9" s="12" t="n">
        <x:v>17721</x:v>
      </x:c>
      <x:c r="J9" s="12" t="n">
        <x:v>7089</x:v>
      </x:c>
      <x:c r="K9" s="12" t="n">
        <x:v>10000</x:v>
      </x:c>
      <x:c r="L9" s="12" t="n">
        <x:f>C9*100+D9*500</x:f>
        <x:v>6000</x:v>
      </x:c>
      <x:c r="M9" s="12" t="n">
        <x:f>E9*F9</x:f>
        <x:v>0</x:v>
      </x:c>
      <x:c r="N9" s="12" t="n">
        <x:f>G9*H9*10%</x:f>
        <x:v>1500</x:v>
      </x:c>
      <x:c r="O9" s="12" t="n">
        <x:f>SUM(L9:N9)</x:f>
        <x:v>7500</x:v>
      </x:c>
      <x:c r="P9" s="12" t="n">
        <x:f>L9*90%</x:f>
        <x:v>5400</x:v>
      </x:c>
      <x:c r="Q9" s="12" t="n">
        <x:f>M9*40%</x:f>
        <x:v>0</x:v>
      </x:c>
      <x:c r="R9" s="12" t="n">
        <x:f>M9*15%</x:f>
        <x:v>0</x:v>
      </x:c>
      <x:c r="S9" s="12" t="n">
        <x:f>N9*20%</x:f>
        <x:v>300</x:v>
      </x:c>
      <x:c r="T9" s="12" t="n">
        <x:f>SUM(I9:K9)</x:f>
        <x:v>34810</x:v>
      </x:c>
      <x:c r="U9" s="12" t="n">
        <x:f>SUM(P9:T9)</x:f>
        <x:v>40510</x:v>
      </x:c>
      <x:c r="V9" s="12" t="n">
        <x:f>O9-U9</x:f>
        <x:v>-33010</x:v>
      </x:c>
    </x:row>
    <x:row r="10">
      <x:c r="A10" s="1" t="str">
        <x:v>2027-09</x:v>
      </x:c>
      <x:c r="B10" s="1" t="n">
        <x:v>8</x:v>
      </x:c>
      <x:c r="C10" s="1" t="n">
        <x:v>68</x:v>
      </x:c>
      <x:c r="D10" s="1" t="n">
        <x:v>0</x:v>
      </x:c>
      <x:c r="E10" s="1" t="n">
        <x:v>0</x:v>
      </x:c>
      <x:c r="F10" s="13" t="n">
        <x:v>25000</x:v>
      </x:c>
      <x:c r="G10" s="14" t="n">
        <x:v>3</x:v>
      </x:c>
      <x:c r="H10" s="1" t="n">
        <x:v>5000</x:v>
      </x:c>
      <x:c r="I10" s="12" t="n">
        <x:v>20253</x:v>
      </x:c>
      <x:c r="J10" s="12" t="n">
        <x:v>8101</x:v>
      </x:c>
      <x:c r="K10" s="12" t="n">
        <x:v>10000</x:v>
      </x:c>
      <x:c r="L10" s="12" t="n">
        <x:f>C10*100+D10*500</x:f>
        <x:v>6800</x:v>
      </x:c>
      <x:c r="M10" s="12" t="n">
        <x:f>E10*F10</x:f>
        <x:v>0</x:v>
      </x:c>
      <x:c r="N10" s="12" t="n">
        <x:f>G10*H10*10%</x:f>
        <x:v>1500</x:v>
      </x:c>
      <x:c r="O10" s="12" t="n">
        <x:f>SUM(L10:N10)</x:f>
        <x:v>8300</x:v>
      </x:c>
      <x:c r="P10" s="12" t="n">
        <x:f>L10*90%</x:f>
        <x:v>6120</x:v>
      </x:c>
      <x:c r="Q10" s="12" t="n">
        <x:f>M10*40%</x:f>
        <x:v>0</x:v>
      </x:c>
      <x:c r="R10" s="12" t="n">
        <x:f>M10*15%</x:f>
        <x:v>0</x:v>
      </x:c>
      <x:c r="S10" s="12" t="n">
        <x:f>N10*20%</x:f>
        <x:v>300</x:v>
      </x:c>
      <x:c r="T10" s="12" t="n">
        <x:f>SUM(I10:K10)</x:f>
        <x:v>38354</x:v>
      </x:c>
      <x:c r="U10" s="12" t="n">
        <x:f>SUM(P10:T10)</x:f>
        <x:v>44774</x:v>
      </x:c>
      <x:c r="V10" s="12" t="n">
        <x:f>O10-U10</x:f>
        <x:v>-36474</x:v>
      </x:c>
    </x:row>
    <x:row r="11">
      <x:c r="A11" s="1" t="str">
        <x:v>2027-10</x:v>
      </x:c>
      <x:c r="B11" s="1" t="n">
        <x:v>8</x:v>
      </x:c>
      <x:c r="C11" s="1" t="n">
        <x:v>80</x:v>
      </x:c>
      <x:c r="D11" s="1" t="n">
        <x:v>0</x:v>
      </x:c>
      <x:c r="E11" s="1" t="n">
        <x:v>1</x:v>
      </x:c>
      <x:c r="F11" s="13" t="n">
        <x:v>25000</x:v>
      </x:c>
      <x:c r="G11" s="14" t="n">
        <x:v>4</x:v>
      </x:c>
      <x:c r="H11" s="1" t="n">
        <x:v>5000</x:v>
      </x:c>
      <x:c r="I11" s="12" t="n">
        <x:v>20253</x:v>
      </x:c>
      <x:c r="J11" s="12" t="n">
        <x:v>8101</x:v>
      </x:c>
      <x:c r="K11" s="12" t="n">
        <x:v>10000</x:v>
      </x:c>
      <x:c r="L11" s="12" t="n">
        <x:f>C11*100+D11*500</x:f>
        <x:v>8000</x:v>
      </x:c>
      <x:c r="M11" s="12" t="n">
        <x:f>E11*F11</x:f>
        <x:v>25000</x:v>
      </x:c>
      <x:c r="N11" s="12" t="n">
        <x:f>G11*H11*10%</x:f>
        <x:v>2000</x:v>
      </x:c>
      <x:c r="O11" s="12" t="n">
        <x:f>SUM(L11:N11)</x:f>
        <x:v>35000</x:v>
      </x:c>
      <x:c r="P11" s="12" t="n">
        <x:f>L11*90%</x:f>
        <x:v>7200</x:v>
      </x:c>
      <x:c r="Q11" s="12" t="n">
        <x:f>M11*40%</x:f>
        <x:v>10000</x:v>
      </x:c>
      <x:c r="R11" s="12" t="n">
        <x:f>M11*15%</x:f>
        <x:v>3750</x:v>
      </x:c>
      <x:c r="S11" s="12" t="n">
        <x:f>N11*20%</x:f>
        <x:v>400</x:v>
      </x:c>
      <x:c r="T11" s="12" t="n">
        <x:f>SUM(I11:K11)</x:f>
        <x:v>38354</x:v>
      </x:c>
      <x:c r="U11" s="12" t="n">
        <x:f>SUM(P11:T11)</x:f>
        <x:v>59704</x:v>
      </x:c>
      <x:c r="V11" s="12" t="n">
        <x:f>O11-U11</x:f>
        <x:v>-24704</x:v>
      </x:c>
    </x:row>
    <x:row r="12">
      <x:c r="A12" s="1" t="str">
        <x:v>2027-11</x:v>
      </x:c>
      <x:c r="B12" s="1" t="n">
        <x:v>9</x:v>
      </x:c>
      <x:c r="C12" s="1" t="n">
        <x:v>95</x:v>
      </x:c>
      <x:c r="D12" s="1" t="n">
        <x:v>0</x:v>
      </x:c>
      <x:c r="E12" s="1" t="n">
        <x:v>0</x:v>
      </x:c>
      <x:c r="F12" s="13" t="n">
        <x:v>25000</x:v>
      </x:c>
      <x:c r="G12" s="14" t="n">
        <x:v>5</x:v>
      </x:c>
      <x:c r="H12" s="1" t="n">
        <x:v>5000</x:v>
      </x:c>
      <x:c r="I12" s="12" t="n">
        <x:v>22785</x:v>
      </x:c>
      <x:c r="J12" s="12" t="n">
        <x:v>9114</x:v>
      </x:c>
      <x:c r="K12" s="12" t="n">
        <x:v>10000</x:v>
      </x:c>
      <x:c r="L12" s="12" t="n">
        <x:f>C12*100+D12*500</x:f>
        <x:v>9500</x:v>
      </x:c>
      <x:c r="M12" s="12" t="n">
        <x:f>E12*F12</x:f>
        <x:v>0</x:v>
      </x:c>
      <x:c r="N12" s="12" t="n">
        <x:f>G12*H12*10%</x:f>
        <x:v>2500</x:v>
      </x:c>
      <x:c r="O12" s="12" t="n">
        <x:f>SUM(L12:N12)</x:f>
        <x:v>12000</x:v>
      </x:c>
      <x:c r="P12" s="12" t="n">
        <x:f>L12*90%</x:f>
        <x:v>8550</x:v>
      </x:c>
      <x:c r="Q12" s="12" t="n">
        <x:f>M12*40%</x:f>
        <x:v>0</x:v>
      </x:c>
      <x:c r="R12" s="12" t="n">
        <x:f>M12*15%</x:f>
        <x:v>0</x:v>
      </x:c>
      <x:c r="S12" s="12" t="n">
        <x:f>N12*20%</x:f>
        <x:v>500</x:v>
      </x:c>
      <x:c r="T12" s="12" t="n">
        <x:f>SUM(I12:K12)</x:f>
        <x:v>41899</x:v>
      </x:c>
      <x:c r="U12" s="12" t="n">
        <x:f>SUM(P12:T12)</x:f>
        <x:v>50949</x:v>
      </x:c>
      <x:c r="V12" s="12" t="n">
        <x:f>O12-U12</x:f>
        <x:v>-38949</x:v>
      </x:c>
    </x:row>
    <x:row r="13">
      <x:c r="A13" s="1" t="str">
        <x:v>2027-12</x:v>
      </x:c>
      <x:c r="B13" s="1" t="n">
        <x:v>10</x:v>
      </x:c>
      <x:c r="C13" s="1" t="n">
        <x:v>100</x:v>
      </x:c>
      <x:c r="D13" s="1" t="n">
        <x:v>0</x:v>
      </x:c>
      <x:c r="E13" s="1" t="n">
        <x:v>0</x:v>
      </x:c>
      <x:c r="F13" s="13" t="n">
        <x:v>25000</x:v>
      </x:c>
      <x:c r="G13" s="14" t="n">
        <x:v>5</x:v>
      </x:c>
      <x:c r="H13" s="1" t="n">
        <x:v>5000</x:v>
      </x:c>
      <x:c r="I13" s="12" t="n">
        <x:v>25316</x:v>
      </x:c>
      <x:c r="J13" s="12" t="n">
        <x:v>10126</x:v>
      </x:c>
      <x:c r="K13" s="12" t="n">
        <x:v>10000</x:v>
      </x:c>
      <x:c r="L13" s="12" t="n">
        <x:f>C13*100+D13*500</x:f>
        <x:v>10000</x:v>
      </x:c>
      <x:c r="M13" s="12" t="n">
        <x:f>E13*F13</x:f>
        <x:v>0</x:v>
      </x:c>
      <x:c r="N13" s="12" t="n">
        <x:f>G13*H13*10%</x:f>
        <x:v>2500</x:v>
      </x:c>
      <x:c r="O13" s="12" t="n">
        <x:f>SUM(L13:N13)</x:f>
        <x:v>12500</x:v>
      </x:c>
      <x:c r="P13" s="12" t="n">
        <x:f>L13*90%</x:f>
        <x:v>9000</x:v>
      </x:c>
      <x:c r="Q13" s="12" t="n">
        <x:f>M13*40%</x:f>
        <x:v>0</x:v>
      </x:c>
      <x:c r="R13" s="12" t="n">
        <x:f>M13*15%</x:f>
        <x:v>0</x:v>
      </x:c>
      <x:c r="S13" s="12" t="n">
        <x:f>N13*20%</x:f>
        <x:v>500</x:v>
      </x:c>
      <x:c r="T13" s="12" t="n">
        <x:f>SUM(I13:K13)</x:f>
        <x:v>45442</x:v>
      </x:c>
      <x:c r="U13" s="12" t="n">
        <x:f>SUM(P13:T13)</x:f>
        <x:v>54942</x:v>
      </x:c>
      <x:c r="V13" s="12" t="n">
        <x:f>O13-U13</x:f>
        <x:v>-42442</x:v>
      </x:c>
    </x:row>
    <x:row r="14">
      <x:c r="A14" s="1" t="str">
        <x:v>2028-01</x:v>
      </x:c>
      <x:c r="B14" s="1" t="n">
        <x:v>10</x:v>
      </x:c>
      <x:c r="C14" s="1" t="n">
        <x:v>100</x:v>
      </x:c>
      <x:c r="D14" s="1" t="n">
        <x:v>0</x:v>
      </x:c>
      <x:c r="E14" s="1" t="n">
        <x:v>0</x:v>
      </x:c>
      <x:c r="F14" s="13" t="n">
        <x:v>100000</x:v>
      </x:c>
      <x:c r="G14" s="14" t="n">
        <x:v>9</x:v>
      </x:c>
      <x:c r="H14" s="1" t="n">
        <x:v>5000</x:v>
      </x:c>
      <x:c r="I14" s="12" t="n">
        <x:v>25317</x:v>
      </x:c>
      <x:c r="J14" s="12" t="n">
        <x:v>12658</x:v>
      </x:c>
      <x:c r="K14" s="12" t="n">
        <x:v>16667</x:v>
      </x:c>
      <x:c r="L14" s="12" t="n">
        <x:f>C14*100+D14*500</x:f>
        <x:v>10000</x:v>
      </x:c>
      <x:c r="M14" s="12" t="n">
        <x:f>E14*F14</x:f>
        <x:v>0</x:v>
      </x:c>
      <x:c r="N14" s="12" t="n">
        <x:f>G14*H14*10%</x:f>
        <x:v>4500</x:v>
      </x:c>
      <x:c r="O14" s="12" t="n">
        <x:f>SUM(L14:N14)</x:f>
        <x:v>14500</x:v>
      </x:c>
      <x:c r="P14" s="12" t="n">
        <x:f>L14*90%</x:f>
        <x:v>9000</x:v>
      </x:c>
      <x:c r="Q14" s="12" t="n">
        <x:f>M14*40%</x:f>
        <x:v>0</x:v>
      </x:c>
      <x:c r="R14" s="12" t="n">
        <x:f>M14*15%</x:f>
        <x:v>0</x:v>
      </x:c>
      <x:c r="S14" s="12" t="n">
        <x:f>N14*20%</x:f>
        <x:v>900</x:v>
      </x:c>
      <x:c r="T14" s="12" t="n">
        <x:f>SUM(I14:K14)</x:f>
        <x:v>54642</x:v>
      </x:c>
      <x:c r="U14" s="12" t="n">
        <x:f>SUM(P14:T14)</x:f>
        <x:v>64542</x:v>
      </x:c>
      <x:c r="V14" s="12" t="n">
        <x:f>O14-U14</x:f>
        <x:v>-50042</x:v>
      </x:c>
    </x:row>
    <x:row r="15">
      <x:c r="A15" s="1" t="str">
        <x:v>2028-02</x:v>
      </x:c>
      <x:c r="B15" s="1" t="n">
        <x:v>11</x:v>
      </x:c>
      <x:c r="C15" s="1" t="n">
        <x:v>109</x:v>
      </x:c>
      <x:c r="D15" s="1" t="n">
        <x:v>1</x:v>
      </x:c>
      <x:c r="E15" s="1" t="n">
        <x:v>0</x:v>
      </x:c>
      <x:c r="F15" s="13" t="n">
        <x:v>100000</x:v>
      </x:c>
      <x:c r="G15" s="14" t="n">
        <x:v>10</x:v>
      </x:c>
      <x:c r="H15" s="1" t="n">
        <x:v>5000</x:v>
      </x:c>
      <x:c r="I15" s="12" t="n">
        <x:v>27848</x:v>
      </x:c>
      <x:c r="J15" s="12" t="n">
        <x:v>13924</x:v>
      </x:c>
      <x:c r="K15" s="12" t="n">
        <x:v>16667</x:v>
      </x:c>
      <x:c r="L15" s="12" t="n">
        <x:f>C15*100+D15*500</x:f>
        <x:v>11400</x:v>
      </x:c>
      <x:c r="M15" s="12" t="n">
        <x:f>E15*F15</x:f>
        <x:v>0</x:v>
      </x:c>
      <x:c r="N15" s="12" t="n">
        <x:f>G15*H15*10%</x:f>
        <x:v>5000</x:v>
      </x:c>
      <x:c r="O15" s="12" t="n">
        <x:f>SUM(L15:N15)</x:f>
        <x:v>16400</x:v>
      </x:c>
      <x:c r="P15" s="12" t="n">
        <x:f>L15*90%</x:f>
        <x:v>10260</x:v>
      </x:c>
      <x:c r="Q15" s="12" t="n">
        <x:f>M15*40%</x:f>
        <x:v>0</x:v>
      </x:c>
      <x:c r="R15" s="12" t="n">
        <x:f>M15*15%</x:f>
        <x:v>0</x:v>
      </x:c>
      <x:c r="S15" s="12" t="n">
        <x:f>N15*20%</x:f>
        <x:v>1000</x:v>
      </x:c>
      <x:c r="T15" s="12" t="n">
        <x:f>SUM(I15:K15)</x:f>
        <x:v>58439</x:v>
      </x:c>
      <x:c r="U15" s="12" t="n">
        <x:f>SUM(P15:T15)</x:f>
        <x:v>69699</x:v>
      </x:c>
      <x:c r="V15" s="12" t="n">
        <x:f>O15-U15</x:f>
        <x:v>-53299</x:v>
      </x:c>
    </x:row>
    <x:row r="16">
      <x:c r="A16" s="1" t="str">
        <x:v>2028-03</x:v>
      </x:c>
      <x:c r="B16" s="1" t="n">
        <x:v>11</x:v>
      </x:c>
      <x:c r="C16" s="1" t="n">
        <x:v>118</x:v>
      </x:c>
      <x:c r="D16" s="1" t="n">
        <x:v>2</x:v>
      </x:c>
      <x:c r="E16" s="1" t="n">
        <x:v>0</x:v>
      </x:c>
      <x:c r="F16" s="13" t="n">
        <x:v>100000</x:v>
      </x:c>
      <x:c r="G16" s="14" t="n">
        <x:v>11</x:v>
      </x:c>
      <x:c r="H16" s="1" t="n">
        <x:v>5000</x:v>
      </x:c>
      <x:c r="I16" s="12" t="n">
        <x:v>27848</x:v>
      </x:c>
      <x:c r="J16" s="12" t="n">
        <x:v>13924</x:v>
      </x:c>
      <x:c r="K16" s="12" t="n">
        <x:v>16667</x:v>
      </x:c>
      <x:c r="L16" s="12" t="n">
        <x:f>C16*100+D16*500</x:f>
        <x:v>12800</x:v>
      </x:c>
      <x:c r="M16" s="12" t="n">
        <x:f>E16*F16</x:f>
        <x:v>0</x:v>
      </x:c>
      <x:c r="N16" s="12" t="n">
        <x:f>G16*H16*10%</x:f>
        <x:v>5500</x:v>
      </x:c>
      <x:c r="O16" s="12" t="n">
        <x:f>SUM(L16:N16)</x:f>
        <x:v>18300</x:v>
      </x:c>
      <x:c r="P16" s="12" t="n">
        <x:f>L16*90%</x:f>
        <x:v>11520</x:v>
      </x:c>
      <x:c r="Q16" s="12" t="n">
        <x:f>M16*40%</x:f>
        <x:v>0</x:v>
      </x:c>
      <x:c r="R16" s="12" t="n">
        <x:f>M16*15%</x:f>
        <x:v>0</x:v>
      </x:c>
      <x:c r="S16" s="12" t="n">
        <x:f>N16*20%</x:f>
        <x:v>1100</x:v>
      </x:c>
      <x:c r="T16" s="12" t="n">
        <x:f>SUM(I16:K16)</x:f>
        <x:v>58439</x:v>
      </x:c>
      <x:c r="U16" s="12" t="n">
        <x:f>SUM(P16:T16)</x:f>
        <x:v>71059</x:v>
      </x:c>
      <x:c r="V16" s="12" t="n">
        <x:f>O16-U16</x:f>
        <x:v>-52759</x:v>
      </x:c>
    </x:row>
    <x:row r="17">
      <x:c r="A17" s="1" t="str">
        <x:v>2028-04</x:v>
      </x:c>
      <x:c r="B17" s="1" t="n">
        <x:v>12</x:v>
      </x:c>
      <x:c r="C17" s="1" t="n">
        <x:v>127</x:v>
      </x:c>
      <x:c r="D17" s="1" t="n">
        <x:v>3</x:v>
      </x:c>
      <x:c r="E17" s="1" t="n">
        <x:v>1</x:v>
      </x:c>
      <x:c r="F17" s="13" t="n">
        <x:v>100000</x:v>
      </x:c>
      <x:c r="G17" s="14" t="n">
        <x:v>12</x:v>
      </x:c>
      <x:c r="H17" s="1" t="n">
        <x:v>5000</x:v>
      </x:c>
      <x:c r="I17" s="12" t="n">
        <x:v>30380</x:v>
      </x:c>
      <x:c r="J17" s="12" t="n">
        <x:v>15190</x:v>
      </x:c>
      <x:c r="K17" s="12" t="n">
        <x:v>16667</x:v>
      </x:c>
      <x:c r="L17" s="12" t="n">
        <x:f>C17*100+D17*500</x:f>
        <x:v>14200</x:v>
      </x:c>
      <x:c r="M17" s="12" t="n">
        <x:f>E17*F17</x:f>
        <x:v>100000</x:v>
      </x:c>
      <x:c r="N17" s="12" t="n">
        <x:f>G17*H17*10%</x:f>
        <x:v>6000</x:v>
      </x:c>
      <x:c r="O17" s="12" t="n">
        <x:f>SUM(L17:N17)</x:f>
        <x:v>120200</x:v>
      </x:c>
      <x:c r="P17" s="12" t="n">
        <x:f>L17*90%</x:f>
        <x:v>12780</x:v>
      </x:c>
      <x:c r="Q17" s="12" t="n">
        <x:f>M17*40%</x:f>
        <x:v>40000</x:v>
      </x:c>
      <x:c r="R17" s="12" t="n">
        <x:f>M17*15%</x:f>
        <x:v>15000</x:v>
      </x:c>
      <x:c r="S17" s="12" t="n">
        <x:f>N17*20%</x:f>
        <x:v>1200</x:v>
      </x:c>
      <x:c r="T17" s="12" t="n">
        <x:f>SUM(I17:K17)</x:f>
        <x:v>62237</x:v>
      </x:c>
      <x:c r="U17" s="12" t="n">
        <x:f>SUM(P17:T17)</x:f>
        <x:v>131217</x:v>
      </x:c>
      <x:c r="V17" s="12" t="n">
        <x:f>O17-U17</x:f>
        <x:v>-11017</x:v>
      </x:c>
    </x:row>
    <x:row r="18">
      <x:c r="A18" s="1" t="str">
        <x:v>2028-05</x:v>
      </x:c>
      <x:c r="B18" s="1" t="n">
        <x:v>12</x:v>
      </x:c>
      <x:c r="C18" s="1" t="n">
        <x:v>136</x:v>
      </x:c>
      <x:c r="D18" s="1" t="n">
        <x:v>4</x:v>
      </x:c>
      <x:c r="E18" s="1" t="n">
        <x:v>0</x:v>
      </x:c>
      <x:c r="F18" s="13" t="n">
        <x:v>100000</x:v>
      </x:c>
      <x:c r="G18" s="14" t="n">
        <x:v>14</x:v>
      </x:c>
      <x:c r="H18" s="1" t="n">
        <x:v>5000</x:v>
      </x:c>
      <x:c r="I18" s="12" t="n">
        <x:v>30380</x:v>
      </x:c>
      <x:c r="J18" s="12" t="n">
        <x:v>15190</x:v>
      </x:c>
      <x:c r="K18" s="12" t="n">
        <x:v>16667</x:v>
      </x:c>
      <x:c r="L18" s="12" t="n">
        <x:f>C18*100+D18*500</x:f>
        <x:v>15600</x:v>
      </x:c>
      <x:c r="M18" s="12" t="n">
        <x:f>E18*F18</x:f>
        <x:v>0</x:v>
      </x:c>
      <x:c r="N18" s="12" t="n">
        <x:f>G18*H18*10%</x:f>
        <x:v>7000</x:v>
      </x:c>
      <x:c r="O18" s="12" t="n">
        <x:f>SUM(L18:N18)</x:f>
        <x:v>22600</x:v>
      </x:c>
      <x:c r="P18" s="12" t="n">
        <x:f>L18*90%</x:f>
        <x:v>14040</x:v>
      </x:c>
      <x:c r="Q18" s="12" t="n">
        <x:f>M18*40%</x:f>
        <x:v>0</x:v>
      </x:c>
      <x:c r="R18" s="12" t="n">
        <x:f>M18*15%</x:f>
        <x:v>0</x:v>
      </x:c>
      <x:c r="S18" s="12" t="n">
        <x:f>N18*20%</x:f>
        <x:v>1400</x:v>
      </x:c>
      <x:c r="T18" s="12" t="n">
        <x:f>SUM(I18:K18)</x:f>
        <x:v>62237</x:v>
      </x:c>
      <x:c r="U18" s="12" t="n">
        <x:f>SUM(P18:T18)</x:f>
        <x:v>77677</x:v>
      </x:c>
      <x:c r="V18" s="12" t="n">
        <x:f>O18-U18</x:f>
        <x:v>-55077</x:v>
      </x:c>
    </x:row>
    <x:row r="19">
      <x:c r="A19" s="1" t="str">
        <x:v>2028-06</x:v>
      </x:c>
      <x:c r="B19" s="1" t="n">
        <x:v>13</x:v>
      </x:c>
      <x:c r="C19" s="1" t="n">
        <x:v>145</x:v>
      </x:c>
      <x:c r="D19" s="1" t="n">
        <x:v>4</x:v>
      </x:c>
      <x:c r="E19" s="1" t="n">
        <x:v>0</x:v>
      </x:c>
      <x:c r="F19" s="13" t="n">
        <x:v>100000</x:v>
      </x:c>
      <x:c r="G19" s="14" t="n">
        <x:v>14</x:v>
      </x:c>
      <x:c r="H19" s="1" t="n">
        <x:v>5000</x:v>
      </x:c>
      <x:c r="I19" s="12" t="n">
        <x:v>32911</x:v>
      </x:c>
      <x:c r="J19" s="12" t="n">
        <x:v>16456</x:v>
      </x:c>
      <x:c r="K19" s="12" t="n">
        <x:v>16667</x:v>
      </x:c>
      <x:c r="L19" s="12" t="n">
        <x:f>C19*100+D19*500</x:f>
        <x:v>16500</x:v>
      </x:c>
      <x:c r="M19" s="12" t="n">
        <x:f>E19*F19</x:f>
        <x:v>0</x:v>
      </x:c>
      <x:c r="N19" s="12" t="n">
        <x:f>G19*H19*10%</x:f>
        <x:v>7000</x:v>
      </x:c>
      <x:c r="O19" s="12" t="n">
        <x:f>SUM(L19:N19)</x:f>
        <x:v>23500</x:v>
      </x:c>
      <x:c r="P19" s="12" t="n">
        <x:f>L19*90%</x:f>
        <x:v>14850</x:v>
      </x:c>
      <x:c r="Q19" s="12" t="n">
        <x:f>M19*40%</x:f>
        <x:v>0</x:v>
      </x:c>
      <x:c r="R19" s="12" t="n">
        <x:f>M19*15%</x:f>
        <x:v>0</x:v>
      </x:c>
      <x:c r="S19" s="12" t="n">
        <x:f>N19*20%</x:f>
        <x:v>1400</x:v>
      </x:c>
      <x:c r="T19" s="12" t="n">
        <x:f>SUM(I19:K19)</x:f>
        <x:v>66034</x:v>
      </x:c>
      <x:c r="U19" s="12" t="n">
        <x:f>SUM(P19:T19)</x:f>
        <x:v>82284</x:v>
      </x:c>
      <x:c r="V19" s="12" t="n">
        <x:f>O19-U19</x:f>
        <x:v>-58784</x:v>
      </x:c>
    </x:row>
    <x:row r="20">
      <x:c r="A20" s="1" t="str">
        <x:v>2028-07</x:v>
      </x:c>
      <x:c r="B20" s="1" t="n">
        <x:v>13</x:v>
      </x:c>
      <x:c r="C20" s="1" t="n">
        <x:v>155</x:v>
      </x:c>
      <x:c r="D20" s="1" t="n">
        <x:v>5</x:v>
      </x:c>
      <x:c r="E20" s="1" t="n">
        <x:v>0</x:v>
      </x:c>
      <x:c r="F20" s="13" t="n">
        <x:v>100000</x:v>
      </x:c>
      <x:c r="G20" s="14" t="n">
        <x:v>15</x:v>
      </x:c>
      <x:c r="H20" s="1" t="n">
        <x:v>5000</x:v>
      </x:c>
      <x:c r="I20" s="12" t="n">
        <x:v>32911</x:v>
      </x:c>
      <x:c r="J20" s="12" t="n">
        <x:v>16456</x:v>
      </x:c>
      <x:c r="K20" s="12" t="n">
        <x:v>16667</x:v>
      </x:c>
      <x:c r="L20" s="12" t="n">
        <x:f>C20*100+D20*500</x:f>
        <x:v>18000</x:v>
      </x:c>
      <x:c r="M20" s="12" t="n">
        <x:f>E20*F20</x:f>
        <x:v>0</x:v>
      </x:c>
      <x:c r="N20" s="12" t="n">
        <x:f>G20*H20*10%</x:f>
        <x:v>7500</x:v>
      </x:c>
      <x:c r="O20" s="12" t="n">
        <x:f>SUM(L20:N20)</x:f>
        <x:v>25500</x:v>
      </x:c>
      <x:c r="P20" s="12" t="n">
        <x:f>L20*90%</x:f>
        <x:v>16200</x:v>
      </x:c>
      <x:c r="Q20" s="12" t="n">
        <x:f>M20*40%</x:f>
        <x:v>0</x:v>
      </x:c>
      <x:c r="R20" s="12" t="n">
        <x:f>M20*15%</x:f>
        <x:v>0</x:v>
      </x:c>
      <x:c r="S20" s="12" t="n">
        <x:f>N20*20%</x:f>
        <x:v>1500</x:v>
      </x:c>
      <x:c r="T20" s="12" t="n">
        <x:f>SUM(I20:K20)</x:f>
        <x:v>66034</x:v>
      </x:c>
      <x:c r="U20" s="12" t="n">
        <x:f>SUM(P20:T20)</x:f>
        <x:v>83734</x:v>
      </x:c>
      <x:c r="V20" s="12" t="n">
        <x:f>O20-U20</x:f>
        <x:v>-58234</x:v>
      </x:c>
    </x:row>
    <x:row r="21">
      <x:c r="A21" s="1" t="str">
        <x:v>2028-08</x:v>
      </x:c>
      <x:c r="B21" s="1" t="n">
        <x:v>14</x:v>
      </x:c>
      <x:c r="C21" s="1" t="n">
        <x:v>164</x:v>
      </x:c>
      <x:c r="D21" s="1" t="n">
        <x:v>6</x:v>
      </x:c>
      <x:c r="E21" s="1" t="n">
        <x:v>1</x:v>
      </x:c>
      <x:c r="F21" s="13" t="n">
        <x:v>100000</x:v>
      </x:c>
      <x:c r="G21" s="14" t="n">
        <x:v>17</x:v>
      </x:c>
      <x:c r="H21" s="1" t="n">
        <x:v>5000</x:v>
      </x:c>
      <x:c r="I21" s="12" t="n">
        <x:v>35443</x:v>
      </x:c>
      <x:c r="J21" s="12" t="n">
        <x:v>17722</x:v>
      </x:c>
      <x:c r="K21" s="12" t="n">
        <x:v>16667</x:v>
      </x:c>
      <x:c r="L21" s="12" t="n">
        <x:f>C21*100+D21*500</x:f>
        <x:v>19400</x:v>
      </x:c>
      <x:c r="M21" s="12" t="n">
        <x:f>E21*F21</x:f>
        <x:v>100000</x:v>
      </x:c>
      <x:c r="N21" s="12" t="n">
        <x:f>G21*H21*10%</x:f>
        <x:v>8500</x:v>
      </x:c>
      <x:c r="O21" s="12" t="n">
        <x:f>SUM(L21:N21)</x:f>
        <x:v>127900</x:v>
      </x:c>
      <x:c r="P21" s="12" t="n">
        <x:f>L21*90%</x:f>
        <x:v>17460</x:v>
      </x:c>
      <x:c r="Q21" s="12" t="n">
        <x:f>M21*40%</x:f>
        <x:v>40000</x:v>
      </x:c>
      <x:c r="R21" s="12" t="n">
        <x:f>M21*15%</x:f>
        <x:v>15000</x:v>
      </x:c>
      <x:c r="S21" s="12" t="n">
        <x:f>N21*20%</x:f>
        <x:v>1700</x:v>
      </x:c>
      <x:c r="T21" s="12" t="n">
        <x:f>SUM(I21:K21)</x:f>
        <x:v>69832</x:v>
      </x:c>
      <x:c r="U21" s="12" t="n">
        <x:f>SUM(P21:T21)</x:f>
        <x:v>143992</x:v>
      </x:c>
      <x:c r="V21" s="12" t="n">
        <x:f>O21-U21</x:f>
        <x:v>-16092</x:v>
      </x:c>
    </x:row>
    <x:row r="22">
      <x:c r="A22" s="1" t="str">
        <x:v>2028-09</x:v>
      </x:c>
      <x:c r="B22" s="1" t="n">
        <x:v>14</x:v>
      </x:c>
      <x:c r="C22" s="1" t="n">
        <x:v>173</x:v>
      </x:c>
      <x:c r="D22" s="1" t="n">
        <x:v>7</x:v>
      </x:c>
      <x:c r="E22" s="1" t="n">
        <x:v>0</x:v>
      </x:c>
      <x:c r="F22" s="13" t="n">
        <x:v>100000</x:v>
      </x:c>
      <x:c r="G22" s="14" t="n">
        <x:v>18</x:v>
      </x:c>
      <x:c r="H22" s="1" t="n">
        <x:v>5000</x:v>
      </x:c>
      <x:c r="I22" s="12" t="n">
        <x:v>35443</x:v>
      </x:c>
      <x:c r="J22" s="12" t="n">
        <x:v>17721</x:v>
      </x:c>
      <x:c r="K22" s="12" t="n">
        <x:v>16666</x:v>
      </x:c>
      <x:c r="L22" s="12" t="n">
        <x:f>C22*100+D22*500</x:f>
        <x:v>20800</x:v>
      </x:c>
      <x:c r="M22" s="12" t="n">
        <x:f>E22*F22</x:f>
        <x:v>0</x:v>
      </x:c>
      <x:c r="N22" s="12" t="n">
        <x:f>G22*H22*10%</x:f>
        <x:v>9000</x:v>
      </x:c>
      <x:c r="O22" s="12" t="n">
        <x:f>SUM(L22:N22)</x:f>
        <x:v>29800</x:v>
      </x:c>
      <x:c r="P22" s="12" t="n">
        <x:f>L22*90%</x:f>
        <x:v>18720</x:v>
      </x:c>
      <x:c r="Q22" s="12" t="n">
        <x:f>M22*40%</x:f>
        <x:v>0</x:v>
      </x:c>
      <x:c r="R22" s="12" t="n">
        <x:f>M22*15%</x:f>
        <x:v>0</x:v>
      </x:c>
      <x:c r="S22" s="12" t="n">
        <x:f>N22*20%</x:f>
        <x:v>1800</x:v>
      </x:c>
      <x:c r="T22" s="12" t="n">
        <x:f>SUM(I22:K22)</x:f>
        <x:v>69830</x:v>
      </x:c>
      <x:c r="U22" s="12" t="n">
        <x:f>SUM(P22:T22)</x:f>
        <x:v>90350</x:v>
      </x:c>
      <x:c r="V22" s="12" t="n">
        <x:f>O22-U22</x:f>
        <x:v>-60550</x:v>
      </x:c>
    </x:row>
    <x:row r="23">
      <x:c r="A23" s="1" t="str">
        <x:v>2028-10</x:v>
      </x:c>
      <x:c r="B23" s="1" t="n">
        <x:v>15</x:v>
      </x:c>
      <x:c r="C23" s="1" t="n">
        <x:v>182</x:v>
      </x:c>
      <x:c r="D23" s="1" t="n">
        <x:v>8</x:v>
      </x:c>
      <x:c r="E23" s="1" t="n">
        <x:v>0</x:v>
      </x:c>
      <x:c r="F23" s="13" t="n">
        <x:v>100000</x:v>
      </x:c>
      <x:c r="G23" s="14" t="n">
        <x:v>19</x:v>
      </x:c>
      <x:c r="H23" s="1" t="n">
        <x:v>5000</x:v>
      </x:c>
      <x:c r="I23" s="12" t="n">
        <x:v>37975</x:v>
      </x:c>
      <x:c r="J23" s="12" t="n">
        <x:v>18987</x:v>
      </x:c>
      <x:c r="K23" s="12" t="n">
        <x:v>16666</x:v>
      </x:c>
      <x:c r="L23" s="12" t="n">
        <x:f>C23*100+D23*500</x:f>
        <x:v>22200</x:v>
      </x:c>
      <x:c r="M23" s="12" t="n">
        <x:f>E23*F23</x:f>
        <x:v>0</x:v>
      </x:c>
      <x:c r="N23" s="12" t="n">
        <x:f>G23*H23*10%</x:f>
        <x:v>9500</x:v>
      </x:c>
      <x:c r="O23" s="12" t="n">
        <x:f>SUM(L23:N23)</x:f>
        <x:v>31700</x:v>
      </x:c>
      <x:c r="P23" s="12" t="n">
        <x:f>L23*90%</x:f>
        <x:v>19980</x:v>
      </x:c>
      <x:c r="Q23" s="12" t="n">
        <x:f>M23*40%</x:f>
        <x:v>0</x:v>
      </x:c>
      <x:c r="R23" s="12" t="n">
        <x:f>M23*15%</x:f>
        <x:v>0</x:v>
      </x:c>
      <x:c r="S23" s="12" t="n">
        <x:f>N23*20%</x:f>
        <x:v>1900</x:v>
      </x:c>
      <x:c r="T23" s="12" t="n">
        <x:f>SUM(I23:K23)</x:f>
        <x:v>73628</x:v>
      </x:c>
      <x:c r="U23" s="12" t="n">
        <x:f>SUM(P23:T23)</x:f>
        <x:v>95508</x:v>
      </x:c>
      <x:c r="V23" s="12" t="n">
        <x:f>O23-U23</x:f>
        <x:v>-63808</x:v>
      </x:c>
    </x:row>
    <x:row r="24">
      <x:c r="A24" s="1" t="str">
        <x:v>2028-11</x:v>
      </x:c>
      <x:c r="B24" s="1" t="n">
        <x:v>16</x:v>
      </x:c>
      <x:c r="C24" s="1" t="n">
        <x:v>191</x:v>
      </x:c>
      <x:c r="D24" s="1" t="n">
        <x:v>10</x:v>
      </x:c>
      <x:c r="E24" s="1" t="n">
        <x:v>0</x:v>
      </x:c>
      <x:c r="F24" s="13" t="n">
        <x:v>100000</x:v>
      </x:c>
      <x:c r="G24" s="14" t="n">
        <x:v>20</x:v>
      </x:c>
      <x:c r="H24" s="1" t="n">
        <x:v>5000</x:v>
      </x:c>
      <x:c r="I24" s="12" t="n">
        <x:v>40506</x:v>
      </x:c>
      <x:c r="J24" s="12" t="n">
        <x:v>20253</x:v>
      </x:c>
      <x:c r="K24" s="12" t="n">
        <x:v>16666</x:v>
      </x:c>
      <x:c r="L24" s="12" t="n">
        <x:f>C24*100+D24*500</x:f>
        <x:v>24100</x:v>
      </x:c>
      <x:c r="M24" s="12" t="n">
        <x:f>E24*F24</x:f>
        <x:v>0</x:v>
      </x:c>
      <x:c r="N24" s="12" t="n">
        <x:f>G24*H24*10%</x:f>
        <x:v>10000</x:v>
      </x:c>
      <x:c r="O24" s="12" t="n">
        <x:f>SUM(L24:N24)</x:f>
        <x:v>34100</x:v>
      </x:c>
      <x:c r="P24" s="12" t="n">
        <x:f>L24*90%</x:f>
        <x:v>21690</x:v>
      </x:c>
      <x:c r="Q24" s="12" t="n">
        <x:f>M24*40%</x:f>
        <x:v>0</x:v>
      </x:c>
      <x:c r="R24" s="12" t="n">
        <x:f>M24*15%</x:f>
        <x:v>0</x:v>
      </x:c>
      <x:c r="S24" s="12" t="n">
        <x:f>N24*20%</x:f>
        <x:v>2000</x:v>
      </x:c>
      <x:c r="T24" s="12" t="n">
        <x:f>SUM(I24:K24)</x:f>
        <x:v>77425</x:v>
      </x:c>
      <x:c r="U24" s="12" t="n">
        <x:f>SUM(P24:T24)</x:f>
        <x:v>101115</x:v>
      </x:c>
      <x:c r="V24" s="12" t="n">
        <x:f>O24-U24</x:f>
        <x:v>-67015</x:v>
      </x:c>
    </x:row>
    <x:row r="25">
      <x:c r="A25" s="1" t="str">
        <x:v>2028-12</x:v>
      </x:c>
      <x:c r="B25" s="1" t="n">
        <x:v>17</x:v>
      </x:c>
      <x:c r="C25" s="1" t="n">
        <x:v>200</x:v>
      </x:c>
      <x:c r="D25" s="1" t="n">
        <x:v>10</x:v>
      </x:c>
      <x:c r="E25" s="1" t="n">
        <x:v>1</x:v>
      </x:c>
      <x:c r="F25" s="13" t="n">
        <x:v>100000</x:v>
      </x:c>
      <x:c r="G25" s="14" t="n">
        <x:v>21</x:v>
      </x:c>
      <x:c r="H25" s="1" t="n">
        <x:v>5000</x:v>
      </x:c>
      <x:c r="I25" s="12" t="n">
        <x:v>43038</x:v>
      </x:c>
      <x:c r="J25" s="12" t="n">
        <x:v>21519</x:v>
      </x:c>
      <x:c r="K25" s="12" t="n">
        <x:v>16666</x:v>
      </x:c>
      <x:c r="L25" s="12" t="n">
        <x:f>C25*100+D25*500</x:f>
        <x:v>25000</x:v>
      </x:c>
      <x:c r="M25" s="12" t="n">
        <x:f>E25*F25</x:f>
        <x:v>100000</x:v>
      </x:c>
      <x:c r="N25" s="12" t="n">
        <x:f>G25*H25*10%</x:f>
        <x:v>10500</x:v>
      </x:c>
      <x:c r="O25" s="12" t="n">
        <x:f>SUM(L25:N25)</x:f>
        <x:v>135500</x:v>
      </x:c>
      <x:c r="P25" s="12" t="n">
        <x:f>L25*90%</x:f>
        <x:v>22500</x:v>
      </x:c>
      <x:c r="Q25" s="12" t="n">
        <x:f>M25*40%</x:f>
        <x:v>40000</x:v>
      </x:c>
      <x:c r="R25" s="12" t="n">
        <x:f>M25*15%</x:f>
        <x:v>15000</x:v>
      </x:c>
      <x:c r="S25" s="12" t="n">
        <x:f>N25*20%</x:f>
        <x:v>2100</x:v>
      </x:c>
      <x:c r="T25" s="12" t="n">
        <x:f>SUM(I25:K25)</x:f>
        <x:v>81223</x:v>
      </x:c>
      <x:c r="U25" s="12" t="n">
        <x:f>SUM(P25:T25)</x:f>
        <x:v>160823</x:v>
      </x:c>
      <x:c r="V25" s="12" t="n">
        <x:f>O25-U25</x:f>
        <x:v>-25323</x:v>
      </x:c>
    </x:row>
    <x:row r="26">
      <x:c r="A26" s="1" t="str">
        <x:v>2029-01</x:v>
      </x:c>
      <x:c r="B26" s="1" t="n">
        <x:v>17</x:v>
      </x:c>
      <x:c r="C26" s="1" t="n">
        <x:v>200</x:v>
      </x:c>
      <x:c r="D26" s="1" t="n">
        <x:v>10</x:v>
      </x:c>
      <x:c r="E26" s="1" t="n">
        <x:v>1</x:v>
      </x:c>
      <x:c r="F26" s="13" t="n">
        <x:v>300000</x:v>
      </x:c>
      <x:c r="G26" s="14" t="n">
        <x:v>30</x:v>
      </x:c>
      <x:c r="H26" s="1" t="n">
        <x:v>5000</x:v>
      </x:c>
      <x:c r="I26" s="12" t="n">
        <x:v>42199</x:v>
      </x:c>
      <x:c r="J26" s="12" t="n">
        <x:v>30142</x:v>
      </x:c>
      <x:c r="K26" s="12" t="n">
        <x:v>25000</x:v>
      </x:c>
      <x:c r="L26" s="12" t="n">
        <x:f>C26*100+D26*500</x:f>
        <x:v>25000</x:v>
      </x:c>
      <x:c r="M26" s="12" t="n">
        <x:f>E26*F26</x:f>
        <x:v>300000</x:v>
      </x:c>
      <x:c r="N26" s="12" t="n">
        <x:f>G26*H26*10%</x:f>
        <x:v>15000</x:v>
      </x:c>
      <x:c r="O26" s="12" t="n">
        <x:f>SUM(L26:N26)</x:f>
        <x:v>340000</x:v>
      </x:c>
      <x:c r="P26" s="12" t="n">
        <x:f>L26*90%</x:f>
        <x:v>22500</x:v>
      </x:c>
      <x:c r="Q26" s="12" t="n">
        <x:f>M26*40%</x:f>
        <x:v>120000</x:v>
      </x:c>
      <x:c r="R26" s="12" t="n">
        <x:f>M26*15%</x:f>
        <x:v>45000</x:v>
      </x:c>
      <x:c r="S26" s="12" t="n">
        <x:f>N26*20%</x:f>
        <x:v>3000</x:v>
      </x:c>
      <x:c r="T26" s="12" t="n">
        <x:f>SUM(I26:K26)</x:f>
        <x:v>97341</x:v>
      </x:c>
      <x:c r="U26" s="12" t="n">
        <x:f>SUM(P26:T26)</x:f>
        <x:v>287841</x:v>
      </x:c>
      <x:c r="V26" s="12" t="n">
        <x:f>O26-U26</x:f>
        <x:v>52159</x:v>
      </x:c>
    </x:row>
    <x:row r="27">
      <x:c r="A27" s="1" t="str">
        <x:v>2029-02</x:v>
      </x:c>
      <x:c r="B27" s="1" t="n">
        <x:v>18</x:v>
      </x:c>
      <x:c r="C27" s="1" t="n">
        <x:v>214</x:v>
      </x:c>
      <x:c r="D27" s="1" t="n">
        <x:v>18</x:v>
      </x:c>
      <x:c r="E27" s="1" t="n">
        <x:v>1</x:v>
      </x:c>
      <x:c r="F27" s="13" t="n">
        <x:v>300000</x:v>
      </x:c>
      <x:c r="G27" s="14" t="n">
        <x:v>34</x:v>
      </x:c>
      <x:c r="H27" s="1" t="n">
        <x:v>5000</x:v>
      </x:c>
      <x:c r="I27" s="12" t="n">
        <x:v>44681</x:v>
      </x:c>
      <x:c r="J27" s="12" t="n">
        <x:v>31915</x:v>
      </x:c>
      <x:c r="K27" s="12" t="n">
        <x:v>25000</x:v>
      </x:c>
      <x:c r="L27" s="12" t="n">
        <x:f>C27*100+D27*500</x:f>
        <x:v>30400</x:v>
      </x:c>
      <x:c r="M27" s="12" t="n">
        <x:f>E27*F27</x:f>
        <x:v>300000</x:v>
      </x:c>
      <x:c r="N27" s="12" t="n">
        <x:f>G27*H27*10%</x:f>
        <x:v>17000</x:v>
      </x:c>
      <x:c r="O27" s="12" t="n">
        <x:f>SUM(L27:N27)</x:f>
        <x:v>347400</x:v>
      </x:c>
      <x:c r="P27" s="12" t="n">
        <x:f>L27*90%</x:f>
        <x:v>27360</x:v>
      </x:c>
      <x:c r="Q27" s="12" t="n">
        <x:f>M27*40%</x:f>
        <x:v>120000</x:v>
      </x:c>
      <x:c r="R27" s="12" t="n">
        <x:f>M27*15%</x:f>
        <x:v>45000</x:v>
      </x:c>
      <x:c r="S27" s="12" t="n">
        <x:f>N27*20%</x:f>
        <x:v>3400</x:v>
      </x:c>
      <x:c r="T27" s="12" t="n">
        <x:f>SUM(I27:K27)</x:f>
        <x:v>101596</x:v>
      </x:c>
      <x:c r="U27" s="12" t="n">
        <x:f>SUM(P27:T27)</x:f>
        <x:v>297356</x:v>
      </x:c>
      <x:c r="V27" s="12" t="n">
        <x:f>O27-U27</x:f>
        <x:v>50044</x:v>
      </x:c>
    </x:row>
    <x:row r="28">
      <x:c r="A28" s="1" t="str">
        <x:v>2029-03</x:v>
      </x:c>
      <x:c r="B28" s="1" t="n">
        <x:v>19</x:v>
      </x:c>
      <x:c r="C28" s="1" t="n">
        <x:v>227</x:v>
      </x:c>
      <x:c r="D28" s="1" t="n">
        <x:v>26</x:v>
      </x:c>
      <x:c r="E28" s="1" t="n">
        <x:v>1</x:v>
      </x:c>
      <x:c r="F28" s="13" t="n">
        <x:v>300000</x:v>
      </x:c>
      <x:c r="G28" s="14" t="n">
        <x:v>39</x:v>
      </x:c>
      <x:c r="H28" s="1" t="n">
        <x:v>5000</x:v>
      </x:c>
      <x:c r="I28" s="12" t="n">
        <x:v>47163</x:v>
      </x:c>
      <x:c r="J28" s="12" t="n">
        <x:v>33688</x:v>
      </x:c>
      <x:c r="K28" s="12" t="n">
        <x:v>25000</x:v>
      </x:c>
      <x:c r="L28" s="12" t="n">
        <x:f>C28*100+D28*500</x:f>
        <x:v>35700</x:v>
      </x:c>
      <x:c r="M28" s="12" t="n">
        <x:f>E28*F28</x:f>
        <x:v>300000</x:v>
      </x:c>
      <x:c r="N28" s="12" t="n">
        <x:f>G28*H28*10%</x:f>
        <x:v>19500</x:v>
      </x:c>
      <x:c r="O28" s="12" t="n">
        <x:f>SUM(L28:N28)</x:f>
        <x:v>355200</x:v>
      </x:c>
      <x:c r="P28" s="12" t="n">
        <x:f>L28*90%</x:f>
        <x:v>32130</x:v>
      </x:c>
      <x:c r="Q28" s="12" t="n">
        <x:f>M28*40%</x:f>
        <x:v>120000</x:v>
      </x:c>
      <x:c r="R28" s="12" t="n">
        <x:f>M28*15%</x:f>
        <x:v>45000</x:v>
      </x:c>
      <x:c r="S28" s="12" t="n">
        <x:f>N28*20%</x:f>
        <x:v>3900</x:v>
      </x:c>
      <x:c r="T28" s="12" t="n">
        <x:f>SUM(I28:K28)</x:f>
        <x:v>105851</x:v>
      </x:c>
      <x:c r="U28" s="12" t="n">
        <x:f>SUM(P28:T28)</x:f>
        <x:v>306881</x:v>
      </x:c>
      <x:c r="V28" s="12" t="n">
        <x:f>O28-U28</x:f>
        <x:v>48319</x:v>
      </x:c>
    </x:row>
    <x:row r="29">
      <x:c r="A29" s="1" t="str">
        <x:v>2029-04</x:v>
      </x:c>
      <x:c r="B29" s="1" t="n">
        <x:v>21</x:v>
      </x:c>
      <x:c r="C29" s="1" t="n">
        <x:v>241</x:v>
      </x:c>
      <x:c r="D29" s="1" t="n">
        <x:v>35</x:v>
      </x:c>
      <x:c r="E29" s="1" t="n">
        <x:v>1</x:v>
      </x:c>
      <x:c r="F29" s="13" t="n">
        <x:v>300000</x:v>
      </x:c>
      <x:c r="G29" s="14" t="n">
        <x:v>45</x:v>
      </x:c>
      <x:c r="H29" s="1" t="n">
        <x:v>5000</x:v>
      </x:c>
      <x:c r="I29" s="12" t="n">
        <x:v>52128</x:v>
      </x:c>
      <x:c r="J29" s="12" t="n">
        <x:v>37234</x:v>
      </x:c>
      <x:c r="K29" s="12" t="n">
        <x:v>25000</x:v>
      </x:c>
      <x:c r="L29" s="12" t="n">
        <x:f>C29*100+D29*500</x:f>
        <x:v>41600</x:v>
      </x:c>
      <x:c r="M29" s="12" t="n">
        <x:f>E29*F29</x:f>
        <x:v>300000</x:v>
      </x:c>
      <x:c r="N29" s="12" t="n">
        <x:f>G29*H29*10%</x:f>
        <x:v>22500</x:v>
      </x:c>
      <x:c r="O29" s="12" t="n">
        <x:f>SUM(L29:N29)</x:f>
        <x:v>364100</x:v>
      </x:c>
      <x:c r="P29" s="12" t="n">
        <x:f>L29*90%</x:f>
        <x:v>37440</x:v>
      </x:c>
      <x:c r="Q29" s="12" t="n">
        <x:f>M29*40%</x:f>
        <x:v>120000</x:v>
      </x:c>
      <x:c r="R29" s="12" t="n">
        <x:f>M29*15%</x:f>
        <x:v>45000</x:v>
      </x:c>
      <x:c r="S29" s="12" t="n">
        <x:f>N29*20%</x:f>
        <x:v>4500</x:v>
      </x:c>
      <x:c r="T29" s="12" t="n">
        <x:f>SUM(I29:K29)</x:f>
        <x:v>114362</x:v>
      </x:c>
      <x:c r="U29" s="12" t="n">
        <x:f>SUM(P29:T29)</x:f>
        <x:v>321302</x:v>
      </x:c>
      <x:c r="V29" s="12" t="n">
        <x:f>O29-U29</x:f>
        <x:v>42798</x:v>
      </x:c>
    </x:row>
    <x:row r="30">
      <x:c r="A30" s="1" t="str">
        <x:v>2029-05</x:v>
      </x:c>
      <x:c r="B30" s="1" t="n">
        <x:v>22</x:v>
      </x:c>
      <x:c r="C30" s="1" t="n">
        <x:v>255</x:v>
      </x:c>
      <x:c r="D30" s="1" t="n">
        <x:v>43</x:v>
      </x:c>
      <x:c r="E30" s="1" t="n">
        <x:v>1</x:v>
      </x:c>
      <x:c r="F30" s="13" t="n">
        <x:v>300000</x:v>
      </x:c>
      <x:c r="G30" s="14" t="n">
        <x:v>49</x:v>
      </x:c>
      <x:c r="H30" s="1" t="n">
        <x:v>5000</x:v>
      </x:c>
      <x:c r="I30" s="12" t="n">
        <x:v>54610</x:v>
      </x:c>
      <x:c r="J30" s="12" t="n">
        <x:v>39007</x:v>
      </x:c>
      <x:c r="K30" s="12" t="n">
        <x:v>25000</x:v>
      </x:c>
      <x:c r="L30" s="12" t="n">
        <x:f>C30*100+D30*500</x:f>
        <x:v>47000</x:v>
      </x:c>
      <x:c r="M30" s="12" t="n">
        <x:f>E30*F30</x:f>
        <x:v>300000</x:v>
      </x:c>
      <x:c r="N30" s="12" t="n">
        <x:f>G30*H30*10%</x:f>
        <x:v>24500</x:v>
      </x:c>
      <x:c r="O30" s="12" t="n">
        <x:f>SUM(L30:N30)</x:f>
        <x:v>371500</x:v>
      </x:c>
      <x:c r="P30" s="12" t="n">
        <x:f>L30*90%</x:f>
        <x:v>42300</x:v>
      </x:c>
      <x:c r="Q30" s="12" t="n">
        <x:f>M30*40%</x:f>
        <x:v>120000</x:v>
      </x:c>
      <x:c r="R30" s="12" t="n">
        <x:f>M30*15%</x:f>
        <x:v>45000</x:v>
      </x:c>
      <x:c r="S30" s="12" t="n">
        <x:f>N30*20%</x:f>
        <x:v>4900</x:v>
      </x:c>
      <x:c r="T30" s="12" t="n">
        <x:f>SUM(I30:K30)</x:f>
        <x:v>118617</x:v>
      </x:c>
      <x:c r="U30" s="12" t="n">
        <x:f>SUM(P30:T30)</x:f>
        <x:v>330817</x:v>
      </x:c>
      <x:c r="V30" s="12" t="n">
        <x:f>O30-U30</x:f>
        <x:v>40683</x:v>
      </x:c>
    </x:row>
    <x:row r="31">
      <x:c r="A31" s="1" t="str">
        <x:v>2029-06</x:v>
      </x:c>
      <x:c r="B31" s="1" t="n">
        <x:v>23</x:v>
      </x:c>
      <x:c r="C31" s="1" t="n">
        <x:v>268</x:v>
      </x:c>
      <x:c r="D31" s="1" t="n">
        <x:v>51</x:v>
      </x:c>
      <x:c r="E31" s="1" t="n">
        <x:v>1</x:v>
      </x:c>
      <x:c r="F31" s="13" t="n">
        <x:v>300000</x:v>
      </x:c>
      <x:c r="G31" s="14" t="n">
        <x:v>54</x:v>
      </x:c>
      <x:c r="H31" s="1" t="n">
        <x:v>5000</x:v>
      </x:c>
      <x:c r="I31" s="12" t="n">
        <x:v>57092</x:v>
      </x:c>
      <x:c r="J31" s="12" t="n">
        <x:v>40780</x:v>
      </x:c>
      <x:c r="K31" s="12" t="n">
        <x:v>25000</x:v>
      </x:c>
      <x:c r="L31" s="12" t="n">
        <x:f>C31*100+D31*500</x:f>
        <x:v>52300</x:v>
      </x:c>
      <x:c r="M31" s="12" t="n">
        <x:f>E31*F31</x:f>
        <x:v>300000</x:v>
      </x:c>
      <x:c r="N31" s="12" t="n">
        <x:f>G31*H31*10%</x:f>
        <x:v>27000</x:v>
      </x:c>
      <x:c r="O31" s="12" t="n">
        <x:f>SUM(L31:N31)</x:f>
        <x:v>379300</x:v>
      </x:c>
      <x:c r="P31" s="12" t="n">
        <x:f>L31*90%</x:f>
        <x:v>47070</x:v>
      </x:c>
      <x:c r="Q31" s="12" t="n">
        <x:f>M31*40%</x:f>
        <x:v>120000</x:v>
      </x:c>
      <x:c r="R31" s="12" t="n">
        <x:f>M31*15%</x:f>
        <x:v>45000</x:v>
      </x:c>
      <x:c r="S31" s="12" t="n">
        <x:f>N31*20%</x:f>
        <x:v>5400</x:v>
      </x:c>
      <x:c r="T31" s="12" t="n">
        <x:f>SUM(I31:K31)</x:f>
        <x:v>122872</x:v>
      </x:c>
      <x:c r="U31" s="12" t="n">
        <x:f>SUM(P31:T31)</x:f>
        <x:v>340342</x:v>
      </x:c>
      <x:c r="V31" s="12" t="n">
        <x:f>O31-U31</x:f>
        <x:v>38958</x:v>
      </x:c>
    </x:row>
    <x:row r="32">
      <x:c r="A32" s="1" t="str">
        <x:v>2029-07</x:v>
      </x:c>
      <x:c r="B32" s="1" t="n">
        <x:v>24</x:v>
      </x:c>
      <x:c r="C32" s="1" t="n">
        <x:v>282</x:v>
      </x:c>
      <x:c r="D32" s="1" t="n">
        <x:v>59</x:v>
      </x:c>
      <x:c r="E32" s="1" t="n">
        <x:v>1</x:v>
      </x:c>
      <x:c r="F32" s="13" t="n">
        <x:v>300000</x:v>
      </x:c>
      <x:c r="G32" s="14" t="n">
        <x:v>59</x:v>
      </x:c>
      <x:c r="H32" s="1" t="n">
        <x:v>5000</x:v>
      </x:c>
      <x:c r="I32" s="12" t="n">
        <x:v>59574</x:v>
      </x:c>
      <x:c r="J32" s="12" t="n">
        <x:v>42553</x:v>
      </x:c>
      <x:c r="K32" s="12" t="n">
        <x:v>25000</x:v>
      </x:c>
      <x:c r="L32" s="12" t="n">
        <x:f>C32*100+D32*500</x:f>
        <x:v>57700</x:v>
      </x:c>
      <x:c r="M32" s="12" t="n">
        <x:f>E32*F32</x:f>
        <x:v>300000</x:v>
      </x:c>
      <x:c r="N32" s="12" t="n">
        <x:f>G32*H32*10%</x:f>
        <x:v>29500</x:v>
      </x:c>
      <x:c r="O32" s="12" t="n">
        <x:f>SUM(L32:N32)</x:f>
        <x:v>387200</x:v>
      </x:c>
      <x:c r="P32" s="12" t="n">
        <x:f>L32*90%</x:f>
        <x:v>51930</x:v>
      </x:c>
      <x:c r="Q32" s="12" t="n">
        <x:f>M32*40%</x:f>
        <x:v>120000</x:v>
      </x:c>
      <x:c r="R32" s="12" t="n">
        <x:f>M32*15%</x:f>
        <x:v>45000</x:v>
      </x:c>
      <x:c r="S32" s="12" t="n">
        <x:f>N32*20%</x:f>
        <x:v>5900</x:v>
      </x:c>
      <x:c r="T32" s="12" t="n">
        <x:f>SUM(I32:K32)</x:f>
        <x:v>127127</x:v>
      </x:c>
      <x:c r="U32" s="12" t="n">
        <x:f>SUM(P32:T32)</x:f>
        <x:v>349957</x:v>
      </x:c>
      <x:c r="V32" s="12" t="n">
        <x:f>O32-U32</x:f>
        <x:v>37243</x:v>
      </x:c>
    </x:row>
    <x:row r="33">
      <x:c r="A33" s="1" t="str">
        <x:v>2029-08</x:v>
      </x:c>
      <x:c r="B33" s="1" t="n">
        <x:v>25</x:v>
      </x:c>
      <x:c r="C33" s="1" t="n">
        <x:v>295</x:v>
      </x:c>
      <x:c r="D33" s="1" t="n">
        <x:v>67</x:v>
      </x:c>
      <x:c r="E33" s="1" t="n">
        <x:v>1</x:v>
      </x:c>
      <x:c r="F33" s="13" t="n">
        <x:v>300000</x:v>
      </x:c>
      <x:c r="G33" s="14" t="n">
        <x:v>64</x:v>
      </x:c>
      <x:c r="H33" s="1" t="n">
        <x:v>5000</x:v>
      </x:c>
      <x:c r="I33" s="12" t="n">
        <x:v>62057</x:v>
      </x:c>
      <x:c r="J33" s="12" t="n">
        <x:v>44326</x:v>
      </x:c>
      <x:c r="K33" s="12" t="n">
        <x:v>25000</x:v>
      </x:c>
      <x:c r="L33" s="12" t="n">
        <x:f>C33*100+D33*500</x:f>
        <x:v>63000</x:v>
      </x:c>
      <x:c r="M33" s="12" t="n">
        <x:f>E33*F33</x:f>
        <x:v>300000</x:v>
      </x:c>
      <x:c r="N33" s="12" t="n">
        <x:f>G33*H33*10%</x:f>
        <x:v>32000</x:v>
      </x:c>
      <x:c r="O33" s="12" t="n">
        <x:f>SUM(L33:N33)</x:f>
        <x:v>395000</x:v>
      </x:c>
      <x:c r="P33" s="12" t="n">
        <x:f>L33*90%</x:f>
        <x:v>56700</x:v>
      </x:c>
      <x:c r="Q33" s="12" t="n">
        <x:f>M33*40%</x:f>
        <x:v>120000</x:v>
      </x:c>
      <x:c r="R33" s="12" t="n">
        <x:f>M33*15%</x:f>
        <x:v>45000</x:v>
      </x:c>
      <x:c r="S33" s="12" t="n">
        <x:f>N33*20%</x:f>
        <x:v>6400</x:v>
      </x:c>
      <x:c r="T33" s="12" t="n">
        <x:f>SUM(I33:K33)</x:f>
        <x:v>131383</x:v>
      </x:c>
      <x:c r="U33" s="12" t="n">
        <x:f>SUM(P33:T33)</x:f>
        <x:v>359483</x:v>
      </x:c>
      <x:c r="V33" s="12" t="n">
        <x:f>O33-U33</x:f>
        <x:v>35517</x:v>
      </x:c>
    </x:row>
    <x:row r="34">
      <x:c r="A34" s="1" t="str">
        <x:v>2029-09</x:v>
      </x:c>
      <x:c r="B34" s="1" t="n">
        <x:v>26</x:v>
      </x:c>
      <x:c r="C34" s="1" t="n">
        <x:v>309</x:v>
      </x:c>
      <x:c r="D34" s="1" t="n">
        <x:v>75</x:v>
      </x:c>
      <x:c r="E34" s="1" t="n">
        <x:v>1</x:v>
      </x:c>
      <x:c r="F34" s="13" t="n">
        <x:v>300000</x:v>
      </x:c>
      <x:c r="G34" s="14" t="n">
        <x:v>69</x:v>
      </x:c>
      <x:c r="H34" s="1" t="n">
        <x:v>5000</x:v>
      </x:c>
      <x:c r="I34" s="12" t="n">
        <x:v>64539</x:v>
      </x:c>
      <x:c r="J34" s="12" t="n">
        <x:v>46099</x:v>
      </x:c>
      <x:c r="K34" s="12" t="n">
        <x:v>25000</x:v>
      </x:c>
      <x:c r="L34" s="12" t="n">
        <x:f>C34*100+D34*500</x:f>
        <x:v>68400</x:v>
      </x:c>
      <x:c r="M34" s="12" t="n">
        <x:f>E34*F34</x:f>
        <x:v>300000</x:v>
      </x:c>
      <x:c r="N34" s="12" t="n">
        <x:f>G34*H34*10%</x:f>
        <x:v>34500</x:v>
      </x:c>
      <x:c r="O34" s="12" t="n">
        <x:f>SUM(L34:N34)</x:f>
        <x:v>402900</x:v>
      </x:c>
      <x:c r="P34" s="12" t="n">
        <x:f>L34*90%</x:f>
        <x:v>61560</x:v>
      </x:c>
      <x:c r="Q34" s="12" t="n">
        <x:f>M34*40%</x:f>
        <x:v>120000</x:v>
      </x:c>
      <x:c r="R34" s="12" t="n">
        <x:f>M34*15%</x:f>
        <x:v>45000</x:v>
      </x:c>
      <x:c r="S34" s="12" t="n">
        <x:f>N34*20%</x:f>
        <x:v>6900</x:v>
      </x:c>
      <x:c r="T34" s="12" t="n">
        <x:f>SUM(I34:K34)</x:f>
        <x:v>135638</x:v>
      </x:c>
      <x:c r="U34" s="12" t="n">
        <x:f>SUM(P34:T34)</x:f>
        <x:v>369098</x:v>
      </x:c>
      <x:c r="V34" s="12" t="n">
        <x:f>O34-U34</x:f>
        <x:v>33802</x:v>
      </x:c>
    </x:row>
    <x:row r="35">
      <x:c r="A35" s="1" t="str">
        <x:v>2029-10</x:v>
      </x:c>
      <x:c r="B35" s="1" t="n">
        <x:v>28</x:v>
      </x:c>
      <x:c r="C35" s="1" t="n">
        <x:v>323</x:v>
      </x:c>
      <x:c r="D35" s="1" t="n">
        <x:v>84</x:v>
      </x:c>
      <x:c r="E35" s="1" t="n">
        <x:v>1</x:v>
      </x:c>
      <x:c r="F35" s="13" t="n">
        <x:v>300000</x:v>
      </x:c>
      <x:c r="G35" s="14" t="n">
        <x:v>74</x:v>
      </x:c>
      <x:c r="H35" s="1" t="n">
        <x:v>5000</x:v>
      </x:c>
      <x:c r="I35" s="12" t="n">
        <x:v>69503</x:v>
      </x:c>
      <x:c r="J35" s="12" t="n">
        <x:v>49645</x:v>
      </x:c>
      <x:c r="K35" s="12" t="n">
        <x:v>25000</x:v>
      </x:c>
      <x:c r="L35" s="12" t="n">
        <x:f>C35*100+D35*500</x:f>
        <x:v>74300</x:v>
      </x:c>
      <x:c r="M35" s="12" t="n">
        <x:f>E35*F35</x:f>
        <x:v>300000</x:v>
      </x:c>
      <x:c r="N35" s="12" t="n">
        <x:f>G35*H35*10%</x:f>
        <x:v>37000</x:v>
      </x:c>
      <x:c r="O35" s="12" t="n">
        <x:f>SUM(L35:N35)</x:f>
        <x:v>411300</x:v>
      </x:c>
      <x:c r="P35" s="12" t="n">
        <x:f>L35*90%</x:f>
        <x:v>66870</x:v>
      </x:c>
      <x:c r="Q35" s="12" t="n">
        <x:f>M35*40%</x:f>
        <x:v>120000</x:v>
      </x:c>
      <x:c r="R35" s="12" t="n">
        <x:f>M35*15%</x:f>
        <x:v>45000</x:v>
      </x:c>
      <x:c r="S35" s="12" t="n">
        <x:f>N35*20%</x:f>
        <x:v>7400</x:v>
      </x:c>
      <x:c r="T35" s="12" t="n">
        <x:f>SUM(I35:K35)</x:f>
        <x:v>144148</x:v>
      </x:c>
      <x:c r="U35" s="12" t="n">
        <x:f>SUM(P35:T35)</x:f>
        <x:v>383418</x:v>
      </x:c>
      <x:c r="V35" s="12" t="n">
        <x:f>O35-U35</x:f>
        <x:v>27882</x:v>
      </x:c>
    </x:row>
    <x:row r="36">
      <x:c r="A36" s="1" t="str">
        <x:v>2029-11</x:v>
      </x:c>
      <x:c r="B36" s="1" t="n">
        <x:v>29</x:v>
      </x:c>
      <x:c r="C36" s="1" t="n">
        <x:v>336</x:v>
      </x:c>
      <x:c r="D36" s="1" t="n">
        <x:v>92</x:v>
      </x:c>
      <x:c r="E36" s="1" t="n">
        <x:v>0</x:v>
      </x:c>
      <x:c r="F36" s="13" t="n">
        <x:v>300000</x:v>
      </x:c>
      <x:c r="G36" s="14" t="n">
        <x:v>79</x:v>
      </x:c>
      <x:c r="H36" s="1" t="n">
        <x:v>5000</x:v>
      </x:c>
      <x:c r="I36" s="12" t="n">
        <x:v>71986</x:v>
      </x:c>
      <x:c r="J36" s="12" t="n">
        <x:v>51419</x:v>
      </x:c>
      <x:c r="K36" s="12" t="n">
        <x:v>25000</x:v>
      </x:c>
      <x:c r="L36" s="12" t="n">
        <x:f>C36*100+D36*500</x:f>
        <x:v>79600</x:v>
      </x:c>
      <x:c r="M36" s="12" t="n">
        <x:f>E36*F36</x:f>
        <x:v>0</x:v>
      </x:c>
      <x:c r="N36" s="12" t="n">
        <x:f>G36*H36*10%</x:f>
        <x:v>39500</x:v>
      </x:c>
      <x:c r="O36" s="12" t="n">
        <x:f>SUM(L36:N36)</x:f>
        <x:v>119100</x:v>
      </x:c>
      <x:c r="P36" s="12" t="n">
        <x:f>L36*90%</x:f>
        <x:v>71640</x:v>
      </x:c>
      <x:c r="Q36" s="12" t="n">
        <x:f>M36*40%</x:f>
        <x:v>0</x:v>
      </x:c>
      <x:c r="R36" s="12" t="n">
        <x:f>M36*15%</x:f>
        <x:v>0</x:v>
      </x:c>
      <x:c r="S36" s="12" t="n">
        <x:f>N36*20%</x:f>
        <x:v>7900</x:v>
      </x:c>
      <x:c r="T36" s="12" t="n">
        <x:f>SUM(I36:K36)</x:f>
        <x:v>148405</x:v>
      </x:c>
      <x:c r="U36" s="12" t="n">
        <x:f>SUM(P36:T36)</x:f>
        <x:v>227945</x:v>
      </x:c>
      <x:c r="V36" s="12" t="n">
        <x:f>O36-U36</x:f>
        <x:v>-108845</x:v>
      </x:c>
    </x:row>
    <x:row r="37">
      <x:c r="A37" s="1" t="str">
        <x:v>2029-12</x:v>
      </x:c>
      <x:c r="B37" s="1" t="n">
        <x:v>30</x:v>
      </x:c>
      <x:c r="C37" s="1" t="n">
        <x:v>350</x:v>
      </x:c>
      <x:c r="D37" s="1" t="n">
        <x:v>100</x:v>
      </x:c>
      <x:c r="E37" s="1" t="n">
        <x:v>0</x:v>
      </x:c>
      <x:c r="F37" s="13" t="n">
        <x:v>300000</x:v>
      </x:c>
      <x:c r="G37" s="14" t="n">
        <x:v>84</x:v>
      </x:c>
      <x:c r="H37" s="1" t="n">
        <x:v>5000</x:v>
      </x:c>
      <x:c r="I37" s="12" t="n">
        <x:v>74468</x:v>
      </x:c>
      <x:c r="J37" s="12" t="n">
        <x:v>53192</x:v>
      </x:c>
      <x:c r="K37" s="12" t="n">
        <x:v>25000</x:v>
      </x:c>
      <x:c r="L37" s="12" t="n">
        <x:f>C37*100+D37*500</x:f>
        <x:v>85000</x:v>
      </x:c>
      <x:c r="M37" s="12" t="n">
        <x:f>E37*F37</x:f>
        <x:v>0</x:v>
      </x:c>
      <x:c r="N37" s="12" t="n">
        <x:f>G37*H37*10%</x:f>
        <x:v>42000</x:v>
      </x:c>
      <x:c r="O37" s="12" t="n">
        <x:f>SUM(L37:N37)</x:f>
        <x:v>127000</x:v>
      </x:c>
      <x:c r="P37" s="12" t="n">
        <x:f>L37*90%</x:f>
        <x:v>76500</x:v>
      </x:c>
      <x:c r="Q37" s="12" t="n">
        <x:f>M37*40%</x:f>
        <x:v>0</x:v>
      </x:c>
      <x:c r="R37" s="12" t="n">
        <x:f>M37*15%</x:f>
        <x:v>0</x:v>
      </x:c>
      <x:c r="S37" s="12" t="n">
        <x:f>N37*20%</x:f>
        <x:v>8400</x:v>
      </x:c>
      <x:c r="T37" s="12" t="n">
        <x:f>SUM(I37:K37)</x:f>
        <x:v>152660</x:v>
      </x:c>
      <x:c r="U37" s="12" t="n">
        <x:f>SUM(P37:T37)</x:f>
        <x:v>237560</x:v>
      </x:c>
      <x:c r="V37" s="12" t="n">
        <x:f>O37-U37</x:f>
        <x:v>-110560</x:v>
      </x:c>
    </x:row>
    <x:row r="38">
      <x:c r="A38" s="1" t="str">
        <x:v>2030-01</x:v>
      </x:c>
      <x:c r="B38" s="1" t="n">
        <x:v>30</x:v>
      </x:c>
      <x:c r="C38" s="1" t="n">
        <x:v>350</x:v>
      </x:c>
      <x:c r="D38" s="1" t="n">
        <x:v>100</x:v>
      </x:c>
      <x:c r="E38" s="1" t="n">
        <x:v>2</x:v>
      </x:c>
      <x:c r="F38" s="13" t="n">
        <x:v>500000</x:v>
      </x:c>
      <x:c r="G38" s="14" t="n">
        <x:v>196</x:v>
      </x:c>
      <x:c r="H38" s="1" t="n">
        <x:v>5000</x:v>
      </x:c>
      <x:c r="I38" s="12" t="n">
        <x:v>76923</x:v>
      </x:c>
      <x:c r="J38" s="12" t="n">
        <x:v>64102</x:v>
      </x:c>
      <x:c r="K38" s="12" t="n">
        <x:v>41667</x:v>
      </x:c>
      <x:c r="L38" s="12" t="n">
        <x:f>C38*100+D38*500</x:f>
        <x:v>85000</x:v>
      </x:c>
      <x:c r="M38" s="12" t="n">
        <x:f>E38*F38</x:f>
        <x:v>1000000</x:v>
      </x:c>
      <x:c r="N38" s="12" t="n">
        <x:f>G38*H38*10%</x:f>
        <x:v>98000</x:v>
      </x:c>
      <x:c r="O38" s="12" t="n">
        <x:f>SUM(L38:N38)</x:f>
        <x:v>1183000</x:v>
      </x:c>
      <x:c r="P38" s="12" t="n">
        <x:f>L38*90%</x:f>
        <x:v>76500</x:v>
      </x:c>
      <x:c r="Q38" s="12" t="n">
        <x:f>M38*40%</x:f>
        <x:v>400000</x:v>
      </x:c>
      <x:c r="R38" s="12" t="n">
        <x:f>M38*15%</x:f>
        <x:v>150000</x:v>
      </x:c>
      <x:c r="S38" s="12" t="n">
        <x:f>N38*20%</x:f>
        <x:v>19600</x:v>
      </x:c>
      <x:c r="T38" s="12" t="n">
        <x:f>SUM(I38:K38)</x:f>
        <x:v>182692</x:v>
      </x:c>
      <x:c r="U38" s="12" t="n">
        <x:f>SUM(P38:T38)</x:f>
        <x:v>828792</x:v>
      </x:c>
      <x:c r="V38" s="12" t="n">
        <x:f>O38-U38</x:f>
        <x:v>354208</x:v>
      </x:c>
    </x:row>
    <x:row r="39">
      <x:c r="A39" s="1" t="str">
        <x:v>2030-02</x:v>
      </x:c>
      <x:c r="B39" s="1" t="n">
        <x:v>32</x:v>
      </x:c>
      <x:c r="C39" s="1" t="n">
        <x:v>373</x:v>
      </x:c>
      <x:c r="D39" s="1" t="n">
        <x:v>123</x:v>
      </x:c>
      <x:c r="E39" s="1" t="n">
        <x:v>2</x:v>
      </x:c>
      <x:c r="F39" s="13" t="n">
        <x:v>500000</x:v>
      </x:c>
      <x:c r="G39" s="14" t="n">
        <x:v>224</x:v>
      </x:c>
      <x:c r="H39" s="1" t="n">
        <x:v>5000</x:v>
      </x:c>
      <x:c r="I39" s="12" t="n">
        <x:v>82051</x:v>
      </x:c>
      <x:c r="J39" s="12" t="n">
        <x:v>68376</x:v>
      </x:c>
      <x:c r="K39" s="12" t="n">
        <x:v>41667</x:v>
      </x:c>
      <x:c r="L39" s="12" t="n">
        <x:f>C39*100+D39*500</x:f>
        <x:v>98800</x:v>
      </x:c>
      <x:c r="M39" s="12" t="n">
        <x:f>E39*F39</x:f>
        <x:v>1000000</x:v>
      </x:c>
      <x:c r="N39" s="12" t="n">
        <x:f>G39*H39*10%</x:f>
        <x:v>112000</x:v>
      </x:c>
      <x:c r="O39" s="12" t="n">
        <x:f>SUM(L39:N39)</x:f>
        <x:v>1210800</x:v>
      </x:c>
      <x:c r="P39" s="12" t="n">
        <x:f>L39*90%</x:f>
        <x:v>88920</x:v>
      </x:c>
      <x:c r="Q39" s="12" t="n">
        <x:f>M39*40%</x:f>
        <x:v>400000</x:v>
      </x:c>
      <x:c r="R39" s="12" t="n">
        <x:f>M39*15%</x:f>
        <x:v>150000</x:v>
      </x:c>
      <x:c r="S39" s="12" t="n">
        <x:f>N39*20%</x:f>
        <x:v>22400</x:v>
      </x:c>
      <x:c r="T39" s="12" t="n">
        <x:f>SUM(I39:K39)</x:f>
        <x:v>192094</x:v>
      </x:c>
      <x:c r="U39" s="12" t="n">
        <x:f>SUM(P39:T39)</x:f>
        <x:v>853414</x:v>
      </x:c>
      <x:c r="V39" s="12" t="n">
        <x:f>O39-U39</x:f>
        <x:v>357386</x:v>
      </x:c>
    </x:row>
    <x:row r="40">
      <x:c r="A40" s="1" t="str">
        <x:v>2030-03</x:v>
      </x:c>
      <x:c r="B40" s="1" t="n">
        <x:v>33</x:v>
      </x:c>
      <x:c r="C40" s="1" t="n">
        <x:v>395</x:v>
      </x:c>
      <x:c r="D40" s="1" t="n">
        <x:v>145</x:v>
      </x:c>
      <x:c r="E40" s="1" t="n">
        <x:v>2</x:v>
      </x:c>
      <x:c r="F40" s="13" t="n">
        <x:v>500000</x:v>
      </x:c>
      <x:c r="G40" s="14" t="n">
        <x:v>250</x:v>
      </x:c>
      <x:c r="H40" s="1" t="n">
        <x:v>5000</x:v>
      </x:c>
      <x:c r="I40" s="12" t="n">
        <x:v>84615</x:v>
      </x:c>
      <x:c r="J40" s="12" t="n">
        <x:v>70513</x:v>
      </x:c>
      <x:c r="K40" s="12" t="n">
        <x:v>41667</x:v>
      </x:c>
      <x:c r="L40" s="12" t="n">
        <x:f>C40*100+D40*500</x:f>
        <x:v>112000</x:v>
      </x:c>
      <x:c r="M40" s="12" t="n">
        <x:f>E40*F40</x:f>
        <x:v>1000000</x:v>
      </x:c>
      <x:c r="N40" s="12" t="n">
        <x:f>G40*H40*10%</x:f>
        <x:v>125000</x:v>
      </x:c>
      <x:c r="O40" s="12" t="n">
        <x:f>SUM(L40:N40)</x:f>
        <x:v>1237000</x:v>
      </x:c>
      <x:c r="P40" s="12" t="n">
        <x:f>L40*90%</x:f>
        <x:v>100800</x:v>
      </x:c>
      <x:c r="Q40" s="12" t="n">
        <x:f>M40*40%</x:f>
        <x:v>400000</x:v>
      </x:c>
      <x:c r="R40" s="12" t="n">
        <x:f>M40*15%</x:f>
        <x:v>150000</x:v>
      </x:c>
      <x:c r="S40" s="12" t="n">
        <x:f>N40*20%</x:f>
        <x:v>25000</x:v>
      </x:c>
      <x:c r="T40" s="12" t="n">
        <x:f>SUM(I40:K40)</x:f>
        <x:v>196795</x:v>
      </x:c>
      <x:c r="U40" s="12" t="n">
        <x:f>SUM(P40:T40)</x:f>
        <x:v>872595</x:v>
      </x:c>
      <x:c r="V40" s="12" t="n">
        <x:f>O40-U40</x:f>
        <x:v>364405</x:v>
      </x:c>
    </x:row>
    <x:row r="41">
      <x:c r="A41" s="1" t="str">
        <x:v>2030-04</x:v>
      </x:c>
      <x:c r="B41" s="1" t="n">
        <x:v>35</x:v>
      </x:c>
      <x:c r="C41" s="1" t="n">
        <x:v>418</x:v>
      </x:c>
      <x:c r="D41" s="1" t="n">
        <x:v>168</x:v>
      </x:c>
      <x:c r="E41" s="1" t="n">
        <x:v>2</x:v>
      </x:c>
      <x:c r="F41" s="13" t="n">
        <x:v>500000</x:v>
      </x:c>
      <x:c r="G41" s="14" t="n">
        <x:v>278</x:v>
      </x:c>
      <x:c r="H41" s="1" t="n">
        <x:v>5000</x:v>
      </x:c>
      <x:c r="I41" s="12" t="n">
        <x:v>89744</x:v>
      </x:c>
      <x:c r="J41" s="12" t="n">
        <x:v>74786</x:v>
      </x:c>
      <x:c r="K41" s="12" t="n">
        <x:v>41667</x:v>
      </x:c>
      <x:c r="L41" s="12" t="n">
        <x:f>C41*100+D41*500</x:f>
        <x:v>125800</x:v>
      </x:c>
      <x:c r="M41" s="12" t="n">
        <x:f>E41*F41</x:f>
        <x:v>1000000</x:v>
      </x:c>
      <x:c r="N41" s="12" t="n">
        <x:f>G41*H41*10%</x:f>
        <x:v>139000</x:v>
      </x:c>
      <x:c r="O41" s="12" t="n">
        <x:f>SUM(L41:N41)</x:f>
        <x:v>1264800</x:v>
      </x:c>
      <x:c r="P41" s="12" t="n">
        <x:f>L41*90%</x:f>
        <x:v>113220</x:v>
      </x:c>
      <x:c r="Q41" s="12" t="n">
        <x:f>M41*40%</x:f>
        <x:v>400000</x:v>
      </x:c>
      <x:c r="R41" s="12" t="n">
        <x:f>M41*15%</x:f>
        <x:v>150000</x:v>
      </x:c>
      <x:c r="S41" s="12" t="n">
        <x:f>N41*20%</x:f>
        <x:v>27800</x:v>
      </x:c>
      <x:c r="T41" s="12" t="n">
        <x:f>SUM(I41:K41)</x:f>
        <x:v>206197</x:v>
      </x:c>
      <x:c r="U41" s="12" t="n">
        <x:f>SUM(P41:T41)</x:f>
        <x:v>897217</x:v>
      </x:c>
      <x:c r="V41" s="12" t="n">
        <x:f>O41-U41</x:f>
        <x:v>367583</x:v>
      </x:c>
    </x:row>
    <x:row r="42">
      <x:c r="A42" s="1" t="str">
        <x:v>2030-05</x:v>
      </x:c>
      <x:c r="B42" s="1" t="n">
        <x:v>37</x:v>
      </x:c>
      <x:c r="C42" s="1" t="n">
        <x:v>441</x:v>
      </x:c>
      <x:c r="D42" s="1" t="n">
        <x:v>191</x:v>
      </x:c>
      <x:c r="E42" s="1" t="n">
        <x:v>2</x:v>
      </x:c>
      <x:c r="F42" s="13" t="n">
        <x:v>500000</x:v>
      </x:c>
      <x:c r="G42" s="14" t="n">
        <x:v>306</x:v>
      </x:c>
      <x:c r="H42" s="1" t="n">
        <x:v>5000</x:v>
      </x:c>
      <x:c r="I42" s="12" t="n">
        <x:v>94872</x:v>
      </x:c>
      <x:c r="J42" s="12" t="n">
        <x:v>79060</x:v>
      </x:c>
      <x:c r="K42" s="12" t="n">
        <x:v>41667</x:v>
      </x:c>
      <x:c r="L42" s="12" t="n">
        <x:f>C42*100+D42*500</x:f>
        <x:v>139600</x:v>
      </x:c>
      <x:c r="M42" s="12" t="n">
        <x:f>E42*F42</x:f>
        <x:v>1000000</x:v>
      </x:c>
      <x:c r="N42" s="12" t="n">
        <x:f>G42*H42*10%</x:f>
        <x:v>153000</x:v>
      </x:c>
      <x:c r="O42" s="12" t="n">
        <x:f>SUM(L42:N42)</x:f>
        <x:v>1292600</x:v>
      </x:c>
      <x:c r="P42" s="12" t="n">
        <x:f>L42*90%</x:f>
        <x:v>125640</x:v>
      </x:c>
      <x:c r="Q42" s="12" t="n">
        <x:f>M42*40%</x:f>
        <x:v>400000</x:v>
      </x:c>
      <x:c r="R42" s="12" t="n">
        <x:f>M42*15%</x:f>
        <x:v>150000</x:v>
      </x:c>
      <x:c r="S42" s="12" t="n">
        <x:f>N42*20%</x:f>
        <x:v>30600</x:v>
      </x:c>
      <x:c r="T42" s="12" t="n">
        <x:f>SUM(I42:K42)</x:f>
        <x:v>215599</x:v>
      </x:c>
      <x:c r="U42" s="12" t="n">
        <x:f>SUM(P42:T42)</x:f>
        <x:v>921839</x:v>
      </x:c>
      <x:c r="V42" s="12" t="n">
        <x:f>O42-U42</x:f>
        <x:v>370761</x:v>
      </x:c>
    </x:row>
    <x:row r="43">
      <x:c r="A43" s="1" t="str">
        <x:v>2030-06</x:v>
      </x:c>
      <x:c r="B43" s="1" t="n">
        <x:v>38</x:v>
      </x:c>
      <x:c r="C43" s="1" t="n">
        <x:v>464</x:v>
      </x:c>
      <x:c r="D43" s="1" t="n">
        <x:v>214</x:v>
      </x:c>
      <x:c r="E43" s="1" t="n">
        <x:v>2</x:v>
      </x:c>
      <x:c r="F43" s="13" t="n">
        <x:v>500000</x:v>
      </x:c>
      <x:c r="G43" s="14" t="n">
        <x:v>333</x:v>
      </x:c>
      <x:c r="H43" s="1" t="n">
        <x:v>5000</x:v>
      </x:c>
      <x:c r="I43" s="12" t="n">
        <x:v>97436</x:v>
      </x:c>
      <x:c r="J43" s="12" t="n">
        <x:v>81197</x:v>
      </x:c>
      <x:c r="K43" s="12" t="n">
        <x:v>41667</x:v>
      </x:c>
      <x:c r="L43" s="12" t="n">
        <x:f>C43*100+D43*500</x:f>
        <x:v>153400</x:v>
      </x:c>
      <x:c r="M43" s="12" t="n">
        <x:f>E43*F43</x:f>
        <x:v>1000000</x:v>
      </x:c>
      <x:c r="N43" s="12" t="n">
        <x:f>G43*H43*10%</x:f>
        <x:v>166500</x:v>
      </x:c>
      <x:c r="O43" s="12" t="n">
        <x:f>SUM(L43:N43)</x:f>
        <x:v>1319900</x:v>
      </x:c>
      <x:c r="P43" s="12" t="n">
        <x:f>L43*90%</x:f>
        <x:v>138060</x:v>
      </x:c>
      <x:c r="Q43" s="12" t="n">
        <x:f>M43*40%</x:f>
        <x:v>400000</x:v>
      </x:c>
      <x:c r="R43" s="12" t="n">
        <x:f>M43*15%</x:f>
        <x:v>150000</x:v>
      </x:c>
      <x:c r="S43" s="12" t="n">
        <x:f>N43*20%</x:f>
        <x:v>33300</x:v>
      </x:c>
      <x:c r="T43" s="12" t="n">
        <x:f>SUM(I43:K43)</x:f>
        <x:v>220300</x:v>
      </x:c>
      <x:c r="U43" s="12" t="n">
        <x:f>SUM(P43:T43)</x:f>
        <x:v>941660</x:v>
      </x:c>
      <x:c r="V43" s="12" t="n">
        <x:f>O43-U43</x:f>
        <x:v>378240</x:v>
      </x:c>
    </x:row>
    <x:row r="44">
      <x:c r="A44" s="1" t="str">
        <x:v>2030-07</x:v>
      </x:c>
      <x:c r="B44" s="1" t="n">
        <x:v>40</x:v>
      </x:c>
      <x:c r="C44" s="1" t="n">
        <x:v>486</x:v>
      </x:c>
      <x:c r="D44" s="1" t="n">
        <x:v>236</x:v>
      </x:c>
      <x:c r="E44" s="1" t="n">
        <x:v>2</x:v>
      </x:c>
      <x:c r="F44" s="13" t="n">
        <x:v>500000</x:v>
      </x:c>
      <x:c r="G44" s="14" t="n">
        <x:v>360</x:v>
      </x:c>
      <x:c r="H44" s="1" t="n">
        <x:v>5000</x:v>
      </x:c>
      <x:c r="I44" s="12" t="n">
        <x:v>102564</x:v>
      </x:c>
      <x:c r="J44" s="12" t="n">
        <x:v>85470</x:v>
      </x:c>
      <x:c r="K44" s="12" t="n">
        <x:v>41667</x:v>
      </x:c>
      <x:c r="L44" s="12" t="n">
        <x:f>C44*100+D44*500</x:f>
        <x:v>166600</x:v>
      </x:c>
      <x:c r="M44" s="12" t="n">
        <x:f>E44*F44</x:f>
        <x:v>1000000</x:v>
      </x:c>
      <x:c r="N44" s="12" t="n">
        <x:f>G44*H44*10%</x:f>
        <x:v>180000</x:v>
      </x:c>
      <x:c r="O44" s="12" t="n">
        <x:f>SUM(L44:N44)</x:f>
        <x:v>1346600</x:v>
      </x:c>
      <x:c r="P44" s="12" t="n">
        <x:f>L44*90%</x:f>
        <x:v>149940</x:v>
      </x:c>
      <x:c r="Q44" s="12" t="n">
        <x:f>M44*40%</x:f>
        <x:v>400000</x:v>
      </x:c>
      <x:c r="R44" s="12" t="n">
        <x:f>M44*15%</x:f>
        <x:v>150000</x:v>
      </x:c>
      <x:c r="S44" s="12" t="n">
        <x:f>N44*20%</x:f>
        <x:v>36000</x:v>
      </x:c>
      <x:c r="T44" s="12" t="n">
        <x:f>SUM(I44:K44)</x:f>
        <x:v>229701</x:v>
      </x:c>
      <x:c r="U44" s="12" t="n">
        <x:f>SUM(P44:T44)</x:f>
        <x:v>965641</x:v>
      </x:c>
      <x:c r="V44" s="12" t="n">
        <x:f>O44-U44</x:f>
        <x:v>380959</x:v>
      </x:c>
    </x:row>
    <x:row r="45">
      <x:c r="A45" s="1" t="str">
        <x:v>2030-08</x:v>
      </x:c>
      <x:c r="B45" s="1" t="n">
        <x:v>41</x:v>
      </x:c>
      <x:c r="C45" s="1" t="n">
        <x:v>509</x:v>
      </x:c>
      <x:c r="D45" s="1" t="n">
        <x:v>259</x:v>
      </x:c>
      <x:c r="E45" s="1" t="n">
        <x:v>2</x:v>
      </x:c>
      <x:c r="F45" s="13" t="n">
        <x:v>500000</x:v>
      </x:c>
      <x:c r="G45" s="14" t="n">
        <x:v>388</x:v>
      </x:c>
      <x:c r="H45" s="1" t="n">
        <x:v>5000</x:v>
      </x:c>
      <x:c r="I45" s="12" t="n">
        <x:v>105128</x:v>
      </x:c>
      <x:c r="J45" s="12" t="n">
        <x:v>87607</x:v>
      </x:c>
      <x:c r="K45" s="12" t="n">
        <x:v>41667</x:v>
      </x:c>
      <x:c r="L45" s="12" t="n">
        <x:f>C45*100+D45*500</x:f>
        <x:v>180400</x:v>
      </x:c>
      <x:c r="M45" s="12" t="n">
        <x:f>E45*F45</x:f>
        <x:v>1000000</x:v>
      </x:c>
      <x:c r="N45" s="12" t="n">
        <x:f>G45*H45*10%</x:f>
        <x:v>194000</x:v>
      </x:c>
      <x:c r="O45" s="12" t="n">
        <x:f>SUM(L45:N45)</x:f>
        <x:v>1374400</x:v>
      </x:c>
      <x:c r="P45" s="12" t="n">
        <x:f>L45*90%</x:f>
        <x:v>162360</x:v>
      </x:c>
      <x:c r="Q45" s="12" t="n">
        <x:f>M45*40%</x:f>
        <x:v>400000</x:v>
      </x:c>
      <x:c r="R45" s="12" t="n">
        <x:f>M45*15%</x:f>
        <x:v>150000</x:v>
      </x:c>
      <x:c r="S45" s="12" t="n">
        <x:f>N45*20%</x:f>
        <x:v>38800</x:v>
      </x:c>
      <x:c r="T45" s="12" t="n">
        <x:f>SUM(I45:K45)</x:f>
        <x:v>234402</x:v>
      </x:c>
      <x:c r="U45" s="12" t="n">
        <x:f>SUM(P45:T45)</x:f>
        <x:v>985562</x:v>
      </x:c>
      <x:c r="V45" s="12" t="n">
        <x:f>O45-U45</x:f>
        <x:v>388838</x:v>
      </x:c>
    </x:row>
    <x:row r="46">
      <x:c r="A46" s="1" t="str">
        <x:v>2030-09</x:v>
      </x:c>
      <x:c r="B46" s="1" t="n">
        <x:v>43</x:v>
      </x:c>
      <x:c r="C46" s="1" t="n">
        <x:v>532</x:v>
      </x:c>
      <x:c r="D46" s="1" t="n">
        <x:v>282</x:v>
      </x:c>
      <x:c r="E46" s="1" t="n">
        <x:v>2</x:v>
      </x:c>
      <x:c r="F46" s="13" t="n">
        <x:v>500000</x:v>
      </x:c>
      <x:c r="G46" s="14" t="n">
        <x:v>415</x:v>
      </x:c>
      <x:c r="H46" s="1" t="n">
        <x:v>5000</x:v>
      </x:c>
      <x:c r="I46" s="12" t="n">
        <x:v>110256</x:v>
      </x:c>
      <x:c r="J46" s="12" t="n">
        <x:v>91880</x:v>
      </x:c>
      <x:c r="K46" s="12" t="n">
        <x:v>41666</x:v>
      </x:c>
      <x:c r="L46" s="12" t="n">
        <x:f>C46*100+D46*500</x:f>
        <x:v>194200</x:v>
      </x:c>
      <x:c r="M46" s="12" t="n">
        <x:f>E46*F46</x:f>
        <x:v>1000000</x:v>
      </x:c>
      <x:c r="N46" s="12" t="n">
        <x:f>G46*H46*10%</x:f>
        <x:v>207500</x:v>
      </x:c>
      <x:c r="O46" s="12" t="n">
        <x:f>SUM(L46:N46)</x:f>
        <x:v>1401700</x:v>
      </x:c>
      <x:c r="P46" s="12" t="n">
        <x:f>L46*90%</x:f>
        <x:v>174780</x:v>
      </x:c>
      <x:c r="Q46" s="12" t="n">
        <x:f>M46*40%</x:f>
        <x:v>400000</x:v>
      </x:c>
      <x:c r="R46" s="12" t="n">
        <x:f>M46*15%</x:f>
        <x:v>150000</x:v>
      </x:c>
      <x:c r="S46" s="12" t="n">
        <x:f>N46*20%</x:f>
        <x:v>41500</x:v>
      </x:c>
      <x:c r="T46" s="12" t="n">
        <x:f>SUM(I46:K46)</x:f>
        <x:v>243802</x:v>
      </x:c>
      <x:c r="U46" s="12" t="n">
        <x:f>SUM(P46:T46)</x:f>
        <x:v>1010082</x:v>
      </x:c>
      <x:c r="V46" s="12" t="n">
        <x:f>O46-U46</x:f>
        <x:v>391618</x:v>
      </x:c>
    </x:row>
    <x:row r="47">
      <x:c r="A47" s="1" t="str">
        <x:v>2030-10</x:v>
      </x:c>
      <x:c r="B47" s="1" t="n">
        <x:v>45</x:v>
      </x:c>
      <x:c r="C47" s="1" t="n">
        <x:v>555</x:v>
      </x:c>
      <x:c r="D47" s="1" t="n">
        <x:v>305</x:v>
      </x:c>
      <x:c r="E47" s="1" t="n">
        <x:v>2</x:v>
      </x:c>
      <x:c r="F47" s="13" t="n">
        <x:v>500000</x:v>
      </x:c>
      <x:c r="G47" s="14" t="n">
        <x:v>443</x:v>
      </x:c>
      <x:c r="H47" s="1" t="n">
        <x:v>5000</x:v>
      </x:c>
      <x:c r="I47" s="12" t="n">
        <x:v>115385</x:v>
      </x:c>
      <x:c r="J47" s="12" t="n">
        <x:v>96154</x:v>
      </x:c>
      <x:c r="K47" s="12" t="n">
        <x:v>41666</x:v>
      </x:c>
      <x:c r="L47" s="12" t="n">
        <x:f>C47*100+D47*500</x:f>
        <x:v>208000</x:v>
      </x:c>
      <x:c r="M47" s="12" t="n">
        <x:f>E47*F47</x:f>
        <x:v>1000000</x:v>
      </x:c>
      <x:c r="N47" s="12" t="n">
        <x:f>G47*H47*10%</x:f>
        <x:v>221500</x:v>
      </x:c>
      <x:c r="O47" s="12" t="n">
        <x:f>SUM(L47:N47)</x:f>
        <x:v>1429500</x:v>
      </x:c>
      <x:c r="P47" s="12" t="n">
        <x:f>L47*90%</x:f>
        <x:v>187200</x:v>
      </x:c>
      <x:c r="Q47" s="12" t="n">
        <x:f>M47*40%</x:f>
        <x:v>400000</x:v>
      </x:c>
      <x:c r="R47" s="12" t="n">
        <x:f>M47*15%</x:f>
        <x:v>150000</x:v>
      </x:c>
      <x:c r="S47" s="12" t="n">
        <x:f>N47*20%</x:f>
        <x:v>44300</x:v>
      </x:c>
      <x:c r="T47" s="12" t="n">
        <x:f>SUM(I47:K47)</x:f>
        <x:v>253205</x:v>
      </x:c>
      <x:c r="U47" s="12" t="n">
        <x:f>SUM(P47:T47)</x:f>
        <x:v>1034705</x:v>
      </x:c>
      <x:c r="V47" s="12" t="n">
        <x:f>O47-U47</x:f>
        <x:v>394795</x:v>
      </x:c>
    </x:row>
    <x:row r="48">
      <x:c r="A48" s="1" t="str">
        <x:v>2030-11</x:v>
      </x:c>
      <x:c r="B48" s="1" t="n">
        <x:v>46</x:v>
      </x:c>
      <x:c r="C48" s="1" t="n">
        <x:v>577</x:v>
      </x:c>
      <x:c r="D48" s="1" t="n">
        <x:v>327</x:v>
      </x:c>
      <x:c r="E48" s="1" t="n">
        <x:v>1</x:v>
      </x:c>
      <x:c r="F48" s="13" t="n">
        <x:v>500000</x:v>
      </x:c>
      <x:c r="G48" s="14" t="n">
        <x:v>470</x:v>
      </x:c>
      <x:c r="H48" s="1" t="n">
        <x:v>5000</x:v>
      </x:c>
      <x:c r="I48" s="12" t="n">
        <x:v>117949</x:v>
      </x:c>
      <x:c r="J48" s="12" t="n">
        <x:v>98291</x:v>
      </x:c>
      <x:c r="K48" s="12" t="n">
        <x:v>41666</x:v>
      </x:c>
      <x:c r="L48" s="12" t="n">
        <x:f>C48*100+D48*500</x:f>
        <x:v>221200</x:v>
      </x:c>
      <x:c r="M48" s="12" t="n">
        <x:f>E48*F48</x:f>
        <x:v>500000</x:v>
      </x:c>
      <x:c r="N48" s="12" t="n">
        <x:f>G48*H48*10%</x:f>
        <x:v>235000</x:v>
      </x:c>
      <x:c r="O48" s="12" t="n">
        <x:f>SUM(L48:N48)</x:f>
        <x:v>956200</x:v>
      </x:c>
      <x:c r="P48" s="12" t="n">
        <x:f>L48*90%</x:f>
        <x:v>199080</x:v>
      </x:c>
      <x:c r="Q48" s="12" t="n">
        <x:f>M48*40%</x:f>
        <x:v>200000</x:v>
      </x:c>
      <x:c r="R48" s="12" t="n">
        <x:f>M48*15%</x:f>
        <x:v>75000</x:v>
      </x:c>
      <x:c r="S48" s="12" t="n">
        <x:f>N48*20%</x:f>
        <x:v>47000</x:v>
      </x:c>
      <x:c r="T48" s="12" t="n">
        <x:f>SUM(I48:K48)</x:f>
        <x:v>257906</x:v>
      </x:c>
      <x:c r="U48" s="12" t="n">
        <x:f>SUM(P48:T48)</x:f>
        <x:v>778986</x:v>
      </x:c>
      <x:c r="V48" s="12" t="n">
        <x:f>O48-U48</x:f>
        <x:v>177214</x:v>
      </x:c>
    </x:row>
    <x:row r="49">
      <x:c r="A49" s="1" t="str">
        <x:v>2030-12</x:v>
      </x:c>
      <x:c r="B49" s="1" t="n">
        <x:v>48</x:v>
      </x:c>
      <x:c r="C49" s="1" t="n">
        <x:v>600</x:v>
      </x:c>
      <x:c r="D49" s="1" t="n">
        <x:v>350</x:v>
      </x:c>
      <x:c r="E49" s="1" t="n">
        <x:v>1</x:v>
      </x:c>
      <x:c r="F49" s="13" t="n">
        <x:v>500000</x:v>
      </x:c>
      <x:c r="G49" s="14" t="n">
        <x:v>497</x:v>
      </x:c>
      <x:c r="H49" s="1" t="n">
        <x:v>5000</x:v>
      </x:c>
      <x:c r="I49" s="12" t="n">
        <x:v>123077</x:v>
      </x:c>
      <x:c r="J49" s="12" t="n">
        <x:v>102564</x:v>
      </x:c>
      <x:c r="K49" s="12" t="n">
        <x:v>41666</x:v>
      </x:c>
      <x:c r="L49" s="12" t="n">
        <x:f>C49*100+D49*500</x:f>
        <x:v>235000</x:v>
      </x:c>
      <x:c r="M49" s="12" t="n">
        <x:f>E49*F49</x:f>
        <x:v>500000</x:v>
      </x:c>
      <x:c r="N49" s="12" t="n">
        <x:f>G49*H49*10%</x:f>
        <x:v>248500</x:v>
      </x:c>
      <x:c r="O49" s="12" t="n">
        <x:f>SUM(L49:N49)</x:f>
        <x:v>983500</x:v>
      </x:c>
      <x:c r="P49" s="12" t="n">
        <x:f>L49*90%</x:f>
        <x:v>211500</x:v>
      </x:c>
      <x:c r="Q49" s="12" t="n">
        <x:f>M49*40%</x:f>
        <x:v>200000</x:v>
      </x:c>
      <x:c r="R49" s="12" t="n">
        <x:f>M49*15%</x:f>
        <x:v>75000</x:v>
      </x:c>
      <x:c r="S49" s="12" t="n">
        <x:f>N49*20%</x:f>
        <x:v>49700</x:v>
      </x:c>
      <x:c r="T49" s="12" t="n">
        <x:f>SUM(I49:K49)</x:f>
        <x:v>267307</x:v>
      </x:c>
      <x:c r="U49" s="12" t="n">
        <x:f>SUM(P49:T49)</x:f>
        <x:v>803507</x:v>
      </x:c>
      <x:c r="V49" s="12" t="n">
        <x:f>O49-U49</x:f>
        <x:v>179993</x:v>
      </x:c>
    </x:row>
    <x:row r="50">
      <x:c r="A50" s="1" t="str">
        <x:v>2031-01</x:v>
      </x:c>
      <x:c r="B50" s="1" t="n">
        <x:v>48</x:v>
      </x:c>
      <x:c r="C50" s="1" t="n">
        <x:v>600</x:v>
      </x:c>
      <x:c r="D50" s="1" t="n">
        <x:v>350</x:v>
      </x:c>
      <x:c r="E50" s="1" t="n">
        <x:v>4</x:v>
      </x:c>
      <x:c r="F50" s="13" t="n">
        <x:v>750000</x:v>
      </x:c>
      <x:c r="G50" s="14" t="n">
        <x:v>486</x:v>
      </x:c>
      <x:c r="H50" s="1" t="n">
        <x:v>5000</x:v>
      </x:c>
      <x:c r="I50" s="12" t="n">
        <x:v>130081</x:v>
      </x:c>
      <x:c r="J50" s="12" t="n">
        <x:v>130081</x:v>
      </x:c>
      <x:c r="K50" s="12" t="n">
        <x:v>66667</x:v>
      </x:c>
      <x:c r="L50" s="12" t="n">
        <x:f>C50*100+D50*500</x:f>
        <x:v>235000</x:v>
      </x:c>
      <x:c r="M50" s="12" t="n">
        <x:f>E50*F50</x:f>
        <x:v>3000000</x:v>
      </x:c>
      <x:c r="N50" s="12" t="n">
        <x:f>G50*H50*10%</x:f>
        <x:v>243000</x:v>
      </x:c>
      <x:c r="O50" s="12" t="n">
        <x:f>SUM(L50:N50)</x:f>
        <x:v>3478000</x:v>
      </x:c>
      <x:c r="P50" s="12" t="n">
        <x:f>L50*90%</x:f>
        <x:v>211500</x:v>
      </x:c>
      <x:c r="Q50" s="12" t="n">
        <x:f>M50*40%</x:f>
        <x:v>1200000</x:v>
      </x:c>
      <x:c r="R50" s="12" t="n">
        <x:f>M50*15%</x:f>
        <x:v>450000</x:v>
      </x:c>
      <x:c r="S50" s="12" t="n">
        <x:f>N50*20%</x:f>
        <x:v>48600</x:v>
      </x:c>
      <x:c r="T50" s="12" t="n">
        <x:f>SUM(I50:K50)</x:f>
        <x:v>326829</x:v>
      </x:c>
      <x:c r="U50" s="12" t="n">
        <x:f>SUM(P50:T50)</x:f>
        <x:v>2236929</x:v>
      </x:c>
      <x:c r="V50" s="12" t="n">
        <x:f>O50-U50</x:f>
        <x:v>1241071</x:v>
      </x:c>
    </x:row>
    <x:row r="51">
      <x:c r="A51" s="1" t="str">
        <x:v>2031-02</x:v>
      </x:c>
      <x:c r="B51" s="1" t="n">
        <x:v>50</x:v>
      </x:c>
      <x:c r="C51" s="1" t="n">
        <x:v>636</x:v>
      </x:c>
      <x:c r="D51" s="1" t="n">
        <x:v>409</x:v>
      </x:c>
      <x:c r="E51" s="1" t="n">
        <x:v>4</x:v>
      </x:c>
      <x:c r="F51" s="13" t="n">
        <x:v>750000</x:v>
      </x:c>
      <x:c r="G51" s="14" t="n">
        <x:v>548</x:v>
      </x:c>
      <x:c r="H51" s="1" t="n">
        <x:v>5000</x:v>
      </x:c>
      <x:c r="I51" s="12" t="n">
        <x:v>135501</x:v>
      </x:c>
      <x:c r="J51" s="12" t="n">
        <x:v>135501</x:v>
      </x:c>
      <x:c r="K51" s="12" t="n">
        <x:v>66667</x:v>
      </x:c>
      <x:c r="L51" s="12" t="n">
        <x:f>C51*100+D51*500</x:f>
        <x:v>268100</x:v>
      </x:c>
      <x:c r="M51" s="12" t="n">
        <x:f>E51*F51</x:f>
        <x:v>3000000</x:v>
      </x:c>
      <x:c r="N51" s="12" t="n">
        <x:f>G51*H51*10%</x:f>
        <x:v>274000</x:v>
      </x:c>
      <x:c r="O51" s="12" t="n">
        <x:f>SUM(L51:N51)</x:f>
        <x:v>3542100</x:v>
      </x:c>
      <x:c r="P51" s="12" t="n">
        <x:f>L51*90%</x:f>
        <x:v>241290</x:v>
      </x:c>
      <x:c r="Q51" s="12" t="n">
        <x:f>M51*40%</x:f>
        <x:v>1200000</x:v>
      </x:c>
      <x:c r="R51" s="12" t="n">
        <x:f>M51*15%</x:f>
        <x:v>450000</x:v>
      </x:c>
      <x:c r="S51" s="12" t="n">
        <x:f>N51*20%</x:f>
        <x:v>54800</x:v>
      </x:c>
      <x:c r="T51" s="12" t="n">
        <x:f>SUM(I51:K51)</x:f>
        <x:v>337669</x:v>
      </x:c>
      <x:c r="U51" s="12" t="n">
        <x:f>SUM(P51:T51)</x:f>
        <x:v>2283759</x:v>
      </x:c>
      <x:c r="V51" s="12" t="n">
        <x:f>O51-U51</x:f>
        <x:v>1258341</x:v>
      </x:c>
    </x:row>
    <x:row r="52">
      <x:c r="A52" s="1" t="str">
        <x:v>2031-03</x:v>
      </x:c>
      <x:c r="B52" s="1" t="n">
        <x:v>53</x:v>
      </x:c>
      <x:c r="C52" s="1" t="n">
        <x:v>673</x:v>
      </x:c>
      <x:c r="D52" s="1" t="n">
        <x:v>468</x:v>
      </x:c>
      <x:c r="E52" s="1" t="n">
        <x:v>4</x:v>
      </x:c>
      <x:c r="F52" s="13" t="n">
        <x:v>750000</x:v>
      </x:c>
      <x:c r="G52" s="14" t="n">
        <x:v>611</x:v>
      </x:c>
      <x:c r="H52" s="1" t="n">
        <x:v>5000</x:v>
      </x:c>
      <x:c r="I52" s="12" t="n">
        <x:v>143631</x:v>
      </x:c>
      <x:c r="J52" s="12" t="n">
        <x:v>143631</x:v>
      </x:c>
      <x:c r="K52" s="12" t="n">
        <x:v>66667</x:v>
      </x:c>
      <x:c r="L52" s="12" t="n">
        <x:f>C52*100+D52*500</x:f>
        <x:v>301300</x:v>
      </x:c>
      <x:c r="M52" s="12" t="n">
        <x:f>E52*F52</x:f>
        <x:v>3000000</x:v>
      </x:c>
      <x:c r="N52" s="12" t="n">
        <x:f>G52*H52*10%</x:f>
        <x:v>305500</x:v>
      </x:c>
      <x:c r="O52" s="12" t="n">
        <x:f>SUM(L52:N52)</x:f>
        <x:v>3606800</x:v>
      </x:c>
      <x:c r="P52" s="12" t="n">
        <x:f>L52*90%</x:f>
        <x:v>271170</x:v>
      </x:c>
      <x:c r="Q52" s="12" t="n">
        <x:f>M52*40%</x:f>
        <x:v>1200000</x:v>
      </x:c>
      <x:c r="R52" s="12" t="n">
        <x:f>M52*15%</x:f>
        <x:v>450000</x:v>
      </x:c>
      <x:c r="S52" s="12" t="n">
        <x:f>N52*20%</x:f>
        <x:v>61100</x:v>
      </x:c>
      <x:c r="T52" s="12" t="n">
        <x:f>SUM(I52:K52)</x:f>
        <x:v>353929</x:v>
      </x:c>
      <x:c r="U52" s="12" t="n">
        <x:f>SUM(P52:T52)</x:f>
        <x:v>2336199</x:v>
      </x:c>
      <x:c r="V52" s="12" t="n">
        <x:f>O52-U52</x:f>
        <x:v>1270601</x:v>
      </x:c>
    </x:row>
    <x:row r="53">
      <x:c r="A53" s="1" t="str">
        <x:v>2031-04</x:v>
      </x:c>
      <x:c r="B53" s="1" t="n">
        <x:v>55</x:v>
      </x:c>
      <x:c r="C53" s="1" t="n">
        <x:v>709</x:v>
      </x:c>
      <x:c r="D53" s="1" t="n">
        <x:v>527</x:v>
      </x:c>
      <x:c r="E53" s="1" t="n">
        <x:v>4</x:v>
      </x:c>
      <x:c r="F53" s="13" t="n">
        <x:v>750000</x:v>
      </x:c>
      <x:c r="G53" s="14" t="n">
        <x:v>674</x:v>
      </x:c>
      <x:c r="H53" s="1" t="n">
        <x:v>5000</x:v>
      </x:c>
      <x:c r="I53" s="12" t="n">
        <x:v>149051</x:v>
      </x:c>
      <x:c r="J53" s="12" t="n">
        <x:v>149051</x:v>
      </x:c>
      <x:c r="K53" s="12" t="n">
        <x:v>66667</x:v>
      </x:c>
      <x:c r="L53" s="12" t="n">
        <x:f>C53*100+D53*500</x:f>
        <x:v>334400</x:v>
      </x:c>
      <x:c r="M53" s="12" t="n">
        <x:f>E53*F53</x:f>
        <x:v>3000000</x:v>
      </x:c>
      <x:c r="N53" s="12" t="n">
        <x:f>G53*H53*10%</x:f>
        <x:v>337000</x:v>
      </x:c>
      <x:c r="O53" s="12" t="n">
        <x:f>SUM(L53:N53)</x:f>
        <x:v>3671400</x:v>
      </x:c>
      <x:c r="P53" s="12" t="n">
        <x:f>L53*90%</x:f>
        <x:v>300960</x:v>
      </x:c>
      <x:c r="Q53" s="12" t="n">
        <x:f>M53*40%</x:f>
        <x:v>1200000</x:v>
      </x:c>
      <x:c r="R53" s="12" t="n">
        <x:f>M53*15%</x:f>
        <x:v>450000</x:v>
      </x:c>
      <x:c r="S53" s="12" t="n">
        <x:f>N53*20%</x:f>
        <x:v>67400</x:v>
      </x:c>
      <x:c r="T53" s="12" t="n">
        <x:f>SUM(I53:K53)</x:f>
        <x:v>364769</x:v>
      </x:c>
      <x:c r="U53" s="12" t="n">
        <x:f>SUM(P53:T53)</x:f>
        <x:v>2383129</x:v>
      </x:c>
      <x:c r="V53" s="12" t="n">
        <x:f>O53-U53</x:f>
        <x:v>1288271</x:v>
      </x:c>
    </x:row>
    <x:row r="54">
      <x:c r="A54" s="1" t="str">
        <x:v>2031-05</x:v>
      </x:c>
      <x:c r="B54" s="1" t="n">
        <x:v>58</x:v>
      </x:c>
      <x:c r="C54" s="1" t="n">
        <x:v>745</x:v>
      </x:c>
      <x:c r="D54" s="1" t="n">
        <x:v>586</x:v>
      </x:c>
      <x:c r="E54" s="1" t="n">
        <x:v>3</x:v>
      </x:c>
      <x:c r="F54" s="13" t="n">
        <x:v>750000</x:v>
      </x:c>
      <x:c r="G54" s="14" t="n">
        <x:v>737</x:v>
      </x:c>
      <x:c r="H54" s="1" t="n">
        <x:v>5000</x:v>
      </x:c>
      <x:c r="I54" s="12" t="n">
        <x:v>157182</x:v>
      </x:c>
      <x:c r="J54" s="12" t="n">
        <x:v>157182</x:v>
      </x:c>
      <x:c r="K54" s="12" t="n">
        <x:v>66667</x:v>
      </x:c>
      <x:c r="L54" s="12" t="n">
        <x:f>C54*100+D54*500</x:f>
        <x:v>367500</x:v>
      </x:c>
      <x:c r="M54" s="12" t="n">
        <x:f>E54*F54</x:f>
        <x:v>2250000</x:v>
      </x:c>
      <x:c r="N54" s="12" t="n">
        <x:f>G54*H54*10%</x:f>
        <x:v>368500</x:v>
      </x:c>
      <x:c r="O54" s="12" t="n">
        <x:f>SUM(L54:N54)</x:f>
        <x:v>2986000</x:v>
      </x:c>
      <x:c r="P54" s="12" t="n">
        <x:f>L54*90%</x:f>
        <x:v>330750</x:v>
      </x:c>
      <x:c r="Q54" s="12" t="n">
        <x:f>M54*40%</x:f>
        <x:v>900000</x:v>
      </x:c>
      <x:c r="R54" s="12" t="n">
        <x:f>M54*15%</x:f>
        <x:v>337500</x:v>
      </x:c>
      <x:c r="S54" s="12" t="n">
        <x:f>N54*20%</x:f>
        <x:v>73700</x:v>
      </x:c>
      <x:c r="T54" s="12" t="n">
        <x:f>SUM(I54:K54)</x:f>
        <x:v>381031</x:v>
      </x:c>
      <x:c r="U54" s="12" t="n">
        <x:f>SUM(P54:T54)</x:f>
        <x:v>2022981</x:v>
      </x:c>
      <x:c r="V54" s="12" t="n">
        <x:f>O54-U54</x:f>
        <x:v>963019</x:v>
      </x:c>
    </x:row>
    <x:row r="55">
      <x:c r="A55" s="1" t="str">
        <x:v>2031-06</x:v>
      </x:c>
      <x:c r="B55" s="1" t="n">
        <x:v>60</x:v>
      </x:c>
      <x:c r="C55" s="1" t="n">
        <x:v>782</x:v>
      </x:c>
      <x:c r="D55" s="1" t="n">
        <x:v>645</x:v>
      </x:c>
      <x:c r="E55" s="1" t="n">
        <x:v>3</x:v>
      </x:c>
      <x:c r="F55" s="13" t="n">
        <x:v>750000</x:v>
      </x:c>
      <x:c r="G55" s="14" t="n">
        <x:v>800</x:v>
      </x:c>
      <x:c r="H55" s="1" t="n">
        <x:v>5000</x:v>
      </x:c>
      <x:c r="I55" s="12" t="n">
        <x:v>162602</x:v>
      </x:c>
      <x:c r="J55" s="12" t="n">
        <x:v>162602</x:v>
      </x:c>
      <x:c r="K55" s="12" t="n">
        <x:v>66667</x:v>
      </x:c>
      <x:c r="L55" s="12" t="n">
        <x:f>C55*100+D55*500</x:f>
        <x:v>400700</x:v>
      </x:c>
      <x:c r="M55" s="12" t="n">
        <x:f>E55*F55</x:f>
        <x:v>2250000</x:v>
      </x:c>
      <x:c r="N55" s="12" t="n">
        <x:f>G55*H55*10%</x:f>
        <x:v>400000</x:v>
      </x:c>
      <x:c r="O55" s="12" t="n">
        <x:f>SUM(L55:N55)</x:f>
        <x:v>3050700</x:v>
      </x:c>
      <x:c r="P55" s="12" t="n">
        <x:f>L55*90%</x:f>
        <x:v>360630</x:v>
      </x:c>
      <x:c r="Q55" s="12" t="n">
        <x:f>M55*40%</x:f>
        <x:v>900000</x:v>
      </x:c>
      <x:c r="R55" s="12" t="n">
        <x:f>M55*15%</x:f>
        <x:v>337500</x:v>
      </x:c>
      <x:c r="S55" s="12" t="n">
        <x:f>N55*20%</x:f>
        <x:v>80000</x:v>
      </x:c>
      <x:c r="T55" s="12" t="n">
        <x:f>SUM(I55:K55)</x:f>
        <x:v>391871</x:v>
      </x:c>
      <x:c r="U55" s="12" t="n">
        <x:f>SUM(P55:T55)</x:f>
        <x:v>2070001</x:v>
      </x:c>
      <x:c r="V55" s="12" t="n">
        <x:f>O55-U55</x:f>
        <x:v>980699</x:v>
      </x:c>
    </x:row>
    <x:row r="56">
      <x:c r="A56" s="1" t="str">
        <x:v>2031-07</x:v>
      </x:c>
      <x:c r="B56" s="1" t="n">
        <x:v>63</x:v>
      </x:c>
      <x:c r="C56" s="1" t="n">
        <x:v>818</x:v>
      </x:c>
      <x:c r="D56" s="1" t="n">
        <x:v>705</x:v>
      </x:c>
      <x:c r="E56" s="1" t="n">
        <x:v>3</x:v>
      </x:c>
      <x:c r="F56" s="13" t="n">
        <x:v>750000</x:v>
      </x:c>
      <x:c r="G56" s="14" t="n">
        <x:v>863</x:v>
      </x:c>
      <x:c r="H56" s="1" t="n">
        <x:v>5000</x:v>
      </x:c>
      <x:c r="I56" s="12" t="n">
        <x:v>170732</x:v>
      </x:c>
      <x:c r="J56" s="12" t="n">
        <x:v>170732</x:v>
      </x:c>
      <x:c r="K56" s="12" t="n">
        <x:v>66667</x:v>
      </x:c>
      <x:c r="L56" s="12" t="n">
        <x:f>C56*100+D56*500</x:f>
        <x:v>434300</x:v>
      </x:c>
      <x:c r="M56" s="12" t="n">
        <x:f>E56*F56</x:f>
        <x:v>2250000</x:v>
      </x:c>
      <x:c r="N56" s="12" t="n">
        <x:f>G56*H56*10%</x:f>
        <x:v>431500</x:v>
      </x:c>
      <x:c r="O56" s="12" t="n">
        <x:f>SUM(L56:N56)</x:f>
        <x:v>3115800</x:v>
      </x:c>
      <x:c r="P56" s="12" t="n">
        <x:f>L56*90%</x:f>
        <x:v>390870</x:v>
      </x:c>
      <x:c r="Q56" s="12" t="n">
        <x:f>M56*40%</x:f>
        <x:v>900000</x:v>
      </x:c>
      <x:c r="R56" s="12" t="n">
        <x:f>M56*15%</x:f>
        <x:v>337500</x:v>
      </x:c>
      <x:c r="S56" s="12" t="n">
        <x:f>N56*20%</x:f>
        <x:v>86300</x:v>
      </x:c>
      <x:c r="T56" s="12" t="n">
        <x:f>SUM(I56:K56)</x:f>
        <x:v>408131</x:v>
      </x:c>
      <x:c r="U56" s="12" t="n">
        <x:f>SUM(P56:T56)</x:f>
        <x:v>2122801</x:v>
      </x:c>
      <x:c r="V56" s="12" t="n">
        <x:f>O56-U56</x:f>
        <x:v>992999</x:v>
      </x:c>
    </x:row>
    <x:row r="57">
      <x:c r="A57" s="1" t="str">
        <x:v>2031-08</x:v>
      </x:c>
      <x:c r="B57" s="1" t="n">
        <x:v>65</x:v>
      </x:c>
      <x:c r="C57" s="1" t="n">
        <x:v>855</x:v>
      </x:c>
      <x:c r="D57" s="1" t="n">
        <x:v>764</x:v>
      </x:c>
      <x:c r="E57" s="1" t="n">
        <x:v>3</x:v>
      </x:c>
      <x:c r="F57" s="13" t="n">
        <x:v>750000</x:v>
      </x:c>
      <x:c r="G57" s="14" t="n">
        <x:v>927</x:v>
      </x:c>
      <x:c r="H57" s="1" t="n">
        <x:v>5000</x:v>
      </x:c>
      <x:c r="I57" s="12" t="n">
        <x:v>176152</x:v>
      </x:c>
      <x:c r="J57" s="12" t="n">
        <x:v>176152</x:v>
      </x:c>
      <x:c r="K57" s="12" t="n">
        <x:v>66667</x:v>
      </x:c>
      <x:c r="L57" s="12" t="n">
        <x:f>C57*100+D57*500</x:f>
        <x:v>467500</x:v>
      </x:c>
      <x:c r="M57" s="12" t="n">
        <x:f>E57*F57</x:f>
        <x:v>2250000</x:v>
      </x:c>
      <x:c r="N57" s="12" t="n">
        <x:f>G57*H57*10%</x:f>
        <x:v>463500</x:v>
      </x:c>
      <x:c r="O57" s="12" t="n">
        <x:f>SUM(L57:N57)</x:f>
        <x:v>3181000</x:v>
      </x:c>
      <x:c r="P57" s="12" t="n">
        <x:f>L57*90%</x:f>
        <x:v>420750</x:v>
      </x:c>
      <x:c r="Q57" s="12" t="n">
        <x:f>M57*40%</x:f>
        <x:v>900000</x:v>
      </x:c>
      <x:c r="R57" s="12" t="n">
        <x:f>M57*15%</x:f>
        <x:v>337500</x:v>
      </x:c>
      <x:c r="S57" s="12" t="n">
        <x:f>N57*20%</x:f>
        <x:v>92700</x:v>
      </x:c>
      <x:c r="T57" s="12" t="n">
        <x:f>SUM(I57:K57)</x:f>
        <x:v>418971</x:v>
      </x:c>
      <x:c r="U57" s="12" t="n">
        <x:f>SUM(P57:T57)</x:f>
        <x:v>2169921</x:v>
      </x:c>
      <x:c r="V57" s="12" t="n">
        <x:f>O57-U57</x:f>
        <x:v>1011079</x:v>
      </x:c>
    </x:row>
    <x:row r="58">
      <x:c r="A58" s="1" t="str">
        <x:v>2031-09</x:v>
      </x:c>
      <x:c r="B58" s="1" t="n">
        <x:v>68</x:v>
      </x:c>
      <x:c r="C58" s="1" t="n">
        <x:v>891</x:v>
      </x:c>
      <x:c r="D58" s="1" t="n">
        <x:v>823</x:v>
      </x:c>
      <x:c r="E58" s="1" t="n">
        <x:v>3</x:v>
      </x:c>
      <x:c r="F58" s="13" t="n">
        <x:v>750000</x:v>
      </x:c>
      <x:c r="G58" s="14" t="n">
        <x:v>989</x:v>
      </x:c>
      <x:c r="H58" s="1" t="n">
        <x:v>5000</x:v>
      </x:c>
      <x:c r="I58" s="12" t="n">
        <x:v>184282</x:v>
      </x:c>
      <x:c r="J58" s="12" t="n">
        <x:v>184282</x:v>
      </x:c>
      <x:c r="K58" s="12" t="n">
        <x:v>66666</x:v>
      </x:c>
      <x:c r="L58" s="12" t="n">
        <x:f>C58*100+D58*500</x:f>
        <x:v>500600</x:v>
      </x:c>
      <x:c r="M58" s="12" t="n">
        <x:f>E58*F58</x:f>
        <x:v>2250000</x:v>
      </x:c>
      <x:c r="N58" s="12" t="n">
        <x:f>G58*H58*10%</x:f>
        <x:v>494500</x:v>
      </x:c>
      <x:c r="O58" s="12" t="n">
        <x:f>SUM(L58:N58)</x:f>
        <x:v>3245100</x:v>
      </x:c>
      <x:c r="P58" s="12" t="n">
        <x:f>L58*90%</x:f>
        <x:v>450540</x:v>
      </x:c>
      <x:c r="Q58" s="12" t="n">
        <x:f>M58*40%</x:f>
        <x:v>900000</x:v>
      </x:c>
      <x:c r="R58" s="12" t="n">
        <x:f>M58*15%</x:f>
        <x:v>337500</x:v>
      </x:c>
      <x:c r="S58" s="12" t="n">
        <x:f>N58*20%</x:f>
        <x:v>98900</x:v>
      </x:c>
      <x:c r="T58" s="12" t="n">
        <x:f>SUM(I58:K58)</x:f>
        <x:v>435230</x:v>
      </x:c>
      <x:c r="U58" s="12" t="n">
        <x:f>SUM(P58:T58)</x:f>
        <x:v>2222170</x:v>
      </x:c>
      <x:c r="V58" s="12" t="n">
        <x:f>O58-U58</x:f>
        <x:v>1022930</x:v>
      </x:c>
    </x:row>
    <x:row r="59">
      <x:c r="A59" s="1" t="str">
        <x:v>2031-10</x:v>
      </x:c>
      <x:c r="B59" s="1" t="n">
        <x:v>70</x:v>
      </x:c>
      <x:c r="C59" s="1" t="n">
        <x:v>927</x:v>
      </x:c>
      <x:c r="D59" s="1" t="n">
        <x:v>882</x:v>
      </x:c>
      <x:c r="E59" s="1" t="n">
        <x:v>3</x:v>
      </x:c>
      <x:c r="F59" s="13" t="n">
        <x:v>750000</x:v>
      </x:c>
      <x:c r="G59" s="14" t="n">
        <x:v>1052</x:v>
      </x:c>
      <x:c r="H59" s="1" t="n">
        <x:v>5000</x:v>
      </x:c>
      <x:c r="I59" s="12" t="n">
        <x:v>189702</x:v>
      </x:c>
      <x:c r="J59" s="12" t="n">
        <x:v>189702</x:v>
      </x:c>
      <x:c r="K59" s="12" t="n">
        <x:v>66666</x:v>
      </x:c>
      <x:c r="L59" s="12" t="n">
        <x:f>C59*100+D59*500</x:f>
        <x:v>533700</x:v>
      </x:c>
      <x:c r="M59" s="12" t="n">
        <x:f>E59*F59</x:f>
        <x:v>2250000</x:v>
      </x:c>
      <x:c r="N59" s="12" t="n">
        <x:f>G59*H59*10%</x:f>
        <x:v>526000</x:v>
      </x:c>
      <x:c r="O59" s="12" t="n">
        <x:f>SUM(L59:N59)</x:f>
        <x:v>3309700</x:v>
      </x:c>
      <x:c r="P59" s="12" t="n">
        <x:f>L59*90%</x:f>
        <x:v>480330</x:v>
      </x:c>
      <x:c r="Q59" s="12" t="n">
        <x:f>M59*40%</x:f>
        <x:v>900000</x:v>
      </x:c>
      <x:c r="R59" s="12" t="n">
        <x:f>M59*15%</x:f>
        <x:v>337500</x:v>
      </x:c>
      <x:c r="S59" s="12" t="n">
        <x:f>N59*20%</x:f>
        <x:v>105200</x:v>
      </x:c>
      <x:c r="T59" s="12" t="n">
        <x:f>SUM(I59:K59)</x:f>
        <x:v>446070</x:v>
      </x:c>
      <x:c r="U59" s="12" t="n">
        <x:f>SUM(P59:T59)</x:f>
        <x:v>2269100</x:v>
      </x:c>
      <x:c r="V59" s="12" t="n">
        <x:f>O59-U59</x:f>
        <x:v>1040600</x:v>
      </x:c>
    </x:row>
    <x:row r="60">
      <x:c r="A60" s="1" t="str">
        <x:v>2031-11</x:v>
      </x:c>
      <x:c r="B60" s="1" t="n">
        <x:v>73</x:v>
      </x:c>
      <x:c r="C60" s="1" t="n">
        <x:v>964</x:v>
      </x:c>
      <x:c r="D60" s="1" t="n">
        <x:v>941</x:v>
      </x:c>
      <x:c r="E60" s="1" t="n">
        <x:v>3</x:v>
      </x:c>
      <x:c r="F60" s="13" t="n">
        <x:v>750000</x:v>
      </x:c>
      <x:c r="G60" s="14" t="n">
        <x:v>1115</x:v>
      </x:c>
      <x:c r="H60" s="1" t="n">
        <x:v>5000</x:v>
      </x:c>
      <x:c r="I60" s="12" t="n">
        <x:v>197832</x:v>
      </x:c>
      <x:c r="J60" s="12" t="n">
        <x:v>197832</x:v>
      </x:c>
      <x:c r="K60" s="12" t="n">
        <x:v>66666</x:v>
      </x:c>
      <x:c r="L60" s="12" t="n">
        <x:f>C60*100+D60*500</x:f>
        <x:v>566900</x:v>
      </x:c>
      <x:c r="M60" s="12" t="n">
        <x:f>E60*F60</x:f>
        <x:v>2250000</x:v>
      </x:c>
      <x:c r="N60" s="12" t="n">
        <x:f>G60*H60*10%</x:f>
        <x:v>557500</x:v>
      </x:c>
      <x:c r="O60" s="12" t="n">
        <x:f>SUM(L60:N60)</x:f>
        <x:v>3374400</x:v>
      </x:c>
      <x:c r="P60" s="12" t="n">
        <x:f>L60*90%</x:f>
        <x:v>510210</x:v>
      </x:c>
      <x:c r="Q60" s="12" t="n">
        <x:f>M60*40%</x:f>
        <x:v>900000</x:v>
      </x:c>
      <x:c r="R60" s="12" t="n">
        <x:f>M60*15%</x:f>
        <x:v>337500</x:v>
      </x:c>
      <x:c r="S60" s="12" t="n">
        <x:f>N60*20%</x:f>
        <x:v>111500</x:v>
      </x:c>
      <x:c r="T60" s="12" t="n">
        <x:f>SUM(I60:K60)</x:f>
        <x:v>462330</x:v>
      </x:c>
      <x:c r="U60" s="12" t="n">
        <x:f>SUM(P60:T60)</x:f>
        <x:v>2321540</x:v>
      </x:c>
      <x:c r="V60" s="12" t="n">
        <x:f>O60-U60</x:f>
        <x:v>1052860</x:v>
      </x:c>
    </x:row>
    <x:row r="61">
      <x:c r="A61" s="1" t="str">
        <x:v>2031-12</x:v>
      </x:c>
      <x:c r="B61" s="1" t="n">
        <x:v>75</x:v>
      </x:c>
      <x:c r="C61" s="1" t="n">
        <x:v>1000</x:v>
      </x:c>
      <x:c r="D61" s="1" t="n">
        <x:v>1000</x:v>
      </x:c>
      <x:c r="E61" s="1" t="n">
        <x:v>3</x:v>
      </x:c>
      <x:c r="F61" s="13" t="n">
        <x:v>750000</x:v>
      </x:c>
      <x:c r="G61" s="14" t="n">
        <x:v>1178</x:v>
      </x:c>
      <x:c r="H61" s="1" t="n">
        <x:v>5000</x:v>
      </x:c>
      <x:c r="I61" s="12" t="n">
        <x:v>203252</x:v>
      </x:c>
      <x:c r="J61" s="12" t="n">
        <x:v>203252</x:v>
      </x:c>
      <x:c r="K61" s="12" t="n">
        <x:v>66666</x:v>
      </x:c>
      <x:c r="L61" s="12" t="n">
        <x:f>C61*100+D61*500</x:f>
        <x:v>600000</x:v>
      </x:c>
      <x:c r="M61" s="12" t="n">
        <x:f>E61*F61</x:f>
        <x:v>2250000</x:v>
      </x:c>
      <x:c r="N61" s="12" t="n">
        <x:f>G61*H61*10%</x:f>
        <x:v>589000</x:v>
      </x:c>
      <x:c r="O61" s="12" t="n">
        <x:f>SUM(L61:N61)</x:f>
        <x:v>3439000</x:v>
      </x:c>
      <x:c r="P61" s="12" t="n">
        <x:f>L61*90%</x:f>
        <x:v>540000</x:v>
      </x:c>
      <x:c r="Q61" s="12" t="n">
        <x:f>M61*40%</x:f>
        <x:v>900000</x:v>
      </x:c>
      <x:c r="R61" s="12" t="n">
        <x:f>M61*15%</x:f>
        <x:v>337500</x:v>
      </x:c>
      <x:c r="S61" s="12" t="n">
        <x:f>N61*20%</x:f>
        <x:v>117800</x:v>
      </x:c>
      <x:c r="T61" s="12" t="n">
        <x:f>SUM(I61:K61)</x:f>
        <x:v>473170</x:v>
      </x:c>
      <x:c r="U61" s="12" t="n">
        <x:f>SUM(P61:T61)</x:f>
        <x:v>2368470</x:v>
      </x:c>
      <x:c r="V61" s="12" t="n">
        <x:f>O61-U61</x:f>
        <x:v>1070530</x:v>
      </x:c>
    </x:row>
    <x:row r="62">
      <x:c r="A62" s="1"/>
      <x:c r="B62" s="1"/>
      <x:c r="C62" s="1"/>
      <x:c r="D62" s="1"/>
      <x:c r="E62" s="1"/>
      <x:c r="F62" s="1"/>
      <x:c r="G62" s="1"/>
      <x:c r="H62" s="1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</x:row>
    <x:row r="63">
      <x:c r="A63" s="1"/>
      <x:c r="B63" s="1"/>
      <x:c r="C63" s="1"/>
      <x:c r="D63" s="1"/>
      <x:c r="E63" s="1"/>
      <x:c r="F63" s="1"/>
      <x:c r="G63" s="1"/>
      <x:c r="H63" s="1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</x:row>
    <x:row r="64">
      <x:c r="A64" s="6" t="str">
        <x:v>Annual check</x:v>
      </x:c>
      <x:c r="B64" s="6" t="str">
        <x:v>Revenue target</x:v>
      </x:c>
      <x:c r="C64" s="6" t="str">
        <x:v>Expense target</x:v>
      </x:c>
      <x:c r="D64" s="6" t="str">
        <x:v>Revenue difference</x:v>
      </x:c>
      <x:c r="E64" s="1"/>
      <x:c r="F64" s="6" t="str">
        <x:v>Monthly assumptions</x:v>
      </x:c>
      <x:c r="G64" s="6" t="str">
        <x:v>Source / meaning</x:v>
      </x:c>
      <x:c r="H64" s="1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</x:row>
    <x:row r="65">
      <x:c r="A65" s="1" t="n">
        <x:v>2027</x:v>
      </x:c>
      <x:c r="B65" s="1" t="n">
        <x:v>100000</x:v>
      </x:c>
      <x:c r="C65" s="1" t="n">
        <x:v>470750</x:v>
      </x:c>
      <x:c r="D65" s="1" t="n">
        <x:f>'Monthly roadmap'!B5-B65</x:f>
        <x:v>0</x:v>
      </x:c>
      <x:c r="E65" s="1"/>
      <x:c r="F65" s="1" t="str">
        <x:v>Firm price</x:v>
      </x:c>
      <x:c r="G65" s="1" t="str">
        <x:v>$100 per active firm-month</x:v>
      </x:c>
      <x:c r="H65" s="1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</x:row>
    <x:row r="66">
      <x:c r="A66" s="1" t="n">
        <x:v>2028</x:v>
      </x:c>
      <x:c r="B66" s="1" t="n">
        <x:v>600000</x:v>
      </x:c>
      <x:c r="C66" s="1" t="n">
        <x:v>1172000</x:v>
      </x:c>
      <x:c r="D66" s="1" t="n">
        <x:f>'Monthly roadmap'!B6-B66</x:f>
        <x:v>0</x:v>
      </x:c>
      <x:c r="E66" s="1"/>
      <x:c r="F66" s="1" t="str">
        <x:v>Company price</x:v>
      </x:c>
      <x:c r="G66" s="1" t="str">
        <x:v>$500 per active company-month</x:v>
      </x:c>
      <x:c r="H66" s="1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</x:row>
    <x:row r="67">
      <x:c r="A67" s="1" t="n">
        <x:v>2029</x:v>
      </x:c>
      <x:c r="B67" s="1" t="n">
        <x:v>4000000</x:v>
      </x:c>
      <x:c r="C67" s="1" t="n">
        <x:v>3812000</x:v>
      </x:c>
      <x:c r="D67" s="1" t="n">
        <x:f>'Monthly roadmap'!B7-B67</x:f>
        <x:v>0</x:v>
      </x:c>
      <x:c r="E67" s="1"/>
      <x:c r="F67" s="1" t="str">
        <x:v>Marketplace fee</x:v>
      </x:c>
      <x:c r="G67" s="1" t="str">
        <x:v>10% of modeled $5,000 order</x:v>
      </x:c>
      <x:c r="H67" s="1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</x:row>
    <x:row r="68">
      <x:c r="A68" s="1" t="n">
        <x:v>2030</x:v>
      </x:c>
      <x:c r="B68" s="1" t="n">
        <x:v>15000000</x:v>
      </x:c>
      <x:c r="C68" s="1" t="n">
        <x:v>10894000</x:v>
      </x:c>
      <x:c r="D68" s="1" t="n">
        <x:f>'Monthly roadmap'!B8-B68</x:f>
        <x:v>0</x:v>
      </x:c>
      <x:c r="E68" s="1"/>
      <x:c r="F68" s="1" t="str">
        <x:v>Service delivery</x:v>
      </x:c>
      <x:c r="G68" s="1" t="str">
        <x:v>90% of subscriptions</x:v>
      </x:c>
      <x:c r="H68" s="1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</x:row>
    <x:row r="69">
      <x:c r="A69" s="1" t="n">
        <x:v>2031</x:v>
      </x:c>
      <x:c r="B69" s="1" t="n">
        <x:v>40000000</x:v>
      </x:c>
      <x:c r="C69" s="1" t="n">
        <x:v>26807000</x:v>
      </x:c>
      <x:c r="D69" s="1" t="n">
        <x:f>'Monthly roadmap'!B9-B69</x:f>
        <x:v>0</x:v>
      </x:c>
      <x:c r="E69" s="1"/>
      <x:c r="F69" s="1" t="str">
        <x:v>Lab share + data review</x:v>
      </x:c>
      <x:c r="G69" s="1" t="str">
        <x:v>40% + 15% of license receipts</x:v>
      </x:c>
      <x:c r="H69" s="1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</x:row>
    <x:row r="70">
      <x:c r="A70" s="1"/>
      <x:c r="B70" s="1"/>
      <x:c r="C70" s="1"/>
      <x:c r="D70" s="1"/>
      <x:c r="E70" s="1"/>
      <x:c r="F70" s="1" t="str">
        <x:v>Marketplace operations</x:v>
      </x:c>
      <x:c r="G70" s="1" t="str">
        <x:v>20% of commission revenue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54B4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36" hidden="0" customWidth="1"/>
    <x:col min="14" max="14" width="19" hidden="0" customWidth="1"/>
    <x:col min="15" max="15" width="19" hidden="0" customWidth="1"/>
  </x:cols>
  <x:sheetData>
    <x:row r="1">
      <x:c r="A1" s="10" t="str">
        <x:v>Month</x:v>
      </x:c>
      <x:c r="B1" s="10" t="str">
        <x:v>Risk firms</x:v>
      </x:c>
      <x:c r="C1" s="10" t="str">
        <x:v>Risk companies</x:v>
      </x:c>
      <x:c r="D1" s="10" t="str">
        <x:v>Delayed lab receipts</x:v>
      </x:c>
      <x:c r="E1" s="10" t="str">
        <x:v>Risk revenue</x:v>
      </x:c>
      <x:c r="F1" s="10" t="str">
        <x:v>Base expenses</x:v>
      </x:c>
      <x:c r="G1" s="10" t="str">
        <x:v>Standby FTE</x:v>
      </x:c>
      <x:c r="H1" s="10" t="str">
        <x:v>Standby retainer</x:v>
      </x:c>
      <x:c r="I1" s="10" t="str">
        <x:v>Crisis response</x:v>
      </x:c>
      <x:c r="J1" s="10" t="str">
        <x:v>Risk expenses</x:v>
      </x:c>
      <x:c r="K1" s="10" t="str">
        <x:v>Risk result</x:v>
      </x:c>
      <x:c r="L1" s="10" t="str">
        <x:v>Cash buffer target</x:v>
      </x:c>
      <x:c r="M1" s="10" t="str">
        <x:v>Crisis event</x:v>
      </x:c>
      <x:c r="N1" s="10" t="str">
        <x:v>Base revenue</x:v>
      </x:c>
      <x:c r="O1" s="10" t="str">
        <x:v>Base result</x:v>
      </x:c>
    </x:row>
    <x:row r="2">
      <x:c r="A2" s="1" t="str">
        <x:v>2027-01</x:v>
      </x:c>
      <x:c r="B2" s="1" t="n">
        <x:v>4</x:v>
      </x:c>
      <x:c r="C2" s="1" t="n">
        <x:v>0</x:v>
      </x:c>
      <x:c r="D2" s="12" t="n">
        <x:v>0</x:v>
      </x:c>
      <x:c r="E2" s="12" t="n">
        <x:v>400</x:v>
      </x:c>
      <x:c r="F2" s="12" t="n">
        <x:v>24628</x:v>
      </x:c>
      <x:c r="G2" s="1" t="n">
        <x:v>1</x:v>
      </x:c>
      <x:c r="H2" s="12" t="n">
        <x:v>1500</x:v>
      </x:c>
      <x:c r="I2" s="12" t="n">
        <x:v>0</x:v>
      </x:c>
      <x:c r="J2" s="12" t="n">
        <x:v>26038</x:v>
      </x:c>
      <x:c r="K2" s="12" t="n">
        <x:v>-25638</x:v>
      </x:c>
      <x:c r="L2" s="12" t="n">
        <x:v>150000</x:v>
      </x:c>
      <x:c r="M2" s="1" t="str"/>
      <x:c r="N2" s="12" t="n">
        <x:v>500</x:v>
      </x:c>
      <x:c r="O2" s="12" t="n">
        <x:v>-24128</x:v>
      </x:c>
    </x:row>
    <x:row r="3">
      <x:c r="A3" s="1" t="str">
        <x:v>2027-02</x:v>
      </x:c>
      <x:c r="B3" s="1" t="n">
        <x:v>10</x:v>
      </x:c>
      <x:c r="C3" s="1" t="n">
        <x:v>0</x:v>
      </x:c>
      <x:c r="D3" s="12" t="n">
        <x:v>0</x:v>
      </x:c>
      <x:c r="E3" s="12" t="n">
        <x:v>1375</x:v>
      </x:c>
      <x:c r="F3" s="12" t="n">
        <x:v>25358</x:v>
      </x:c>
      <x:c r="G3" s="1" t="n">
        <x:v>1</x:v>
      </x:c>
      <x:c r="H3" s="12" t="n">
        <x:v>1500</x:v>
      </x:c>
      <x:c r="I3" s="12" t="n">
        <x:v>0</x:v>
      </x:c>
      <x:c r="J3" s="12" t="n">
        <x:v>26653</x:v>
      </x:c>
      <x:c r="K3" s="12" t="n">
        <x:v>-25278</x:v>
      </x:c>
      <x:c r="L3" s="12" t="n">
        <x:v>150000</x:v>
      </x:c>
      <x:c r="M3" s="1" t="str"/>
      <x:c r="N3" s="12" t="n">
        <x:v>1700</x:v>
      </x:c>
      <x:c r="O3" s="12" t="n">
        <x:v>-23658</x:v>
      </x:c>
    </x:row>
    <x:row r="4">
      <x:c r="A4" s="1" t="str">
        <x:v>2027-03</x:v>
      </x:c>
      <x:c r="B4" s="1" t="n">
        <x:v>16</x:v>
      </x:c>
      <x:c r="C4" s="1" t="n">
        <x:v>0</x:v>
      </x:c>
      <x:c r="D4" s="12" t="n">
        <x:v>0</x:v>
      </x:c>
      <x:c r="E4" s="12" t="n">
        <x:v>1975</x:v>
      </x:c>
      <x:c r="F4" s="12" t="n">
        <x:v>29621</x:v>
      </x:c>
      <x:c r="G4" s="1" t="n">
        <x:v>1</x:v>
      </x:c>
      <x:c r="H4" s="12" t="n">
        <x:v>1500</x:v>
      </x:c>
      <x:c r="I4" s="12" t="n">
        <x:v>0</x:v>
      </x:c>
      <x:c r="J4" s="12" t="n">
        <x:v>30736</x:v>
      </x:c>
      <x:c r="K4" s="12" t="n">
        <x:v>-28761</x:v>
      </x:c>
      <x:c r="L4" s="12" t="n">
        <x:v>150000</x:v>
      </x:c>
      <x:c r="M4" s="1" t="str"/>
      <x:c r="N4" s="12" t="n">
        <x:v>2500</x:v>
      </x:c>
      <x:c r="O4" s="12" t="n">
        <x:v>-27121</x:v>
      </x:c>
    </x:row>
    <x:row r="5">
      <x:c r="A5" s="1" t="str">
        <x:v>2027-04</x:v>
      </x:c>
      <x:c r="B5" s="1" t="n">
        <x:v>22</x:v>
      </x:c>
      <x:c r="C5" s="1" t="n">
        <x:v>0</x:v>
      </x:c>
      <x:c r="D5" s="12" t="n">
        <x:v>0</x:v>
      </x:c>
      <x:c r="E5" s="12" t="n">
        <x:v>2575</x:v>
      </x:c>
      <x:c r="F5" s="12" t="n">
        <x:v>30341</x:v>
      </x:c>
      <x:c r="G5" s="1" t="n">
        <x:v>1</x:v>
      </x:c>
      <x:c r="H5" s="12" t="n">
        <x:v>1500</x:v>
      </x:c>
      <x:c r="I5" s="12" t="n">
        <x:v>0</x:v>
      </x:c>
      <x:c r="J5" s="12" t="n">
        <x:v>31276</x:v>
      </x:c>
      <x:c r="K5" s="12" t="n">
        <x:v>-28701</x:v>
      </x:c>
      <x:c r="L5" s="12" t="n">
        <x:v>150000</x:v>
      </x:c>
      <x:c r="M5" s="1" t="str"/>
      <x:c r="N5" s="12" t="n">
        <x:v>3300</x:v>
      </x:c>
      <x:c r="O5" s="12" t="n">
        <x:v>-27041</x:v>
      </x:c>
    </x:row>
    <x:row r="6">
      <x:c r="A6" s="1" t="str">
        <x:v>2027-05</x:v>
      </x:c>
      <x:c r="B6" s="1" t="n">
        <x:v>29</x:v>
      </x:c>
      <x:c r="C6" s="1" t="n">
        <x:v>0</x:v>
      </x:c>
      <x:c r="D6" s="12" t="n">
        <x:v>0</x:v>
      </x:c>
      <x:c r="E6" s="12" t="n">
        <x:v>3650</x:v>
      </x:c>
      <x:c r="F6" s="12" t="n">
        <x:v>34706</x:v>
      </x:c>
      <x:c r="G6" s="1" t="n">
        <x:v>1</x:v>
      </x:c>
      <x:c r="H6" s="12" t="n">
        <x:v>1500</x:v>
      </x:c>
      <x:c r="I6" s="12" t="n">
        <x:v>0</x:v>
      </x:c>
      <x:c r="J6" s="12" t="n">
        <x:v>35526</x:v>
      </x:c>
      <x:c r="K6" s="12" t="n">
        <x:v>-31876</x:v>
      </x:c>
      <x:c r="L6" s="12" t="n">
        <x:v>150000</x:v>
      </x:c>
      <x:c r="M6" s="1" t="str"/>
      <x:c r="N6" s="12" t="n">
        <x:v>4600</x:v>
      </x:c>
      <x:c r="O6" s="12" t="n">
        <x:v>-30106</x:v>
      </x:c>
    </x:row>
    <x:row r="7">
      <x:c r="A7" s="1" t="str">
        <x:v>2027-06</x:v>
      </x:c>
      <x:c r="B7" s="1" t="n">
        <x:v>35</x:v>
      </x:c>
      <x:c r="C7" s="1" t="n">
        <x:v>0</x:v>
      </x:c>
      <x:c r="D7" s="12" t="n">
        <x:v>0</x:v>
      </x:c>
      <x:c r="E7" s="12" t="n">
        <x:v>4250</x:v>
      </x:c>
      <x:c r="F7" s="12" t="n">
        <x:v>35426</x:v>
      </x:c>
      <x:c r="G7" s="1" t="n">
        <x:v>1</x:v>
      </x:c>
      <x:c r="H7" s="12" t="n">
        <x:v>1500</x:v>
      </x:c>
      <x:c r="I7" s="12" t="n">
        <x:v>0</x:v>
      </x:c>
      <x:c r="J7" s="12" t="n">
        <x:v>36066</x:v>
      </x:c>
      <x:c r="K7" s="12" t="n">
        <x:v>-31816</x:v>
      </x:c>
      <x:c r="L7" s="12" t="n">
        <x:v>150000</x:v>
      </x:c>
      <x:c r="M7" s="1" t="str"/>
      <x:c r="N7" s="12" t="n">
        <x:v>5400</x:v>
      </x:c>
      <x:c r="O7" s="12" t="n">
        <x:v>-30026</x:v>
      </x:c>
    </x:row>
    <x:row r="8">
      <x:c r="A8" s="1" t="str">
        <x:v>2027-07</x:v>
      </x:c>
      <x:c r="B8" s="1" t="n">
        <x:v>42</x:v>
      </x:c>
      <x:c r="C8" s="1" t="n">
        <x:v>0</x:v>
      </x:c>
      <x:c r="D8" s="12" t="n">
        <x:v>0</x:v>
      </x:c>
      <x:c r="E8" s="12" t="n">
        <x:v>5325</x:v>
      </x:c>
      <x:c r="F8" s="12" t="n">
        <x:v>39791</x:v>
      </x:c>
      <x:c r="G8" s="1" t="n">
        <x:v>1</x:v>
      </x:c>
      <x:c r="H8" s="12" t="n">
        <x:v>1500</x:v>
      </x:c>
      <x:c r="I8" s="12" t="n">
        <x:v>20000</x:v>
      </x:c>
      <x:c r="J8" s="12" t="n">
        <x:v>60316</x:v>
      </x:c>
      <x:c r="K8" s="12" t="n">
        <x:v>-54991</x:v>
      </x:c>
      <x:c r="L8" s="12" t="n">
        <x:v>150000</x:v>
      </x:c>
      <x:c r="M8" s="1" t="str">
        <x:v>Service outage and recovery</x:v>
      </x:c>
      <x:c r="N8" s="12" t="n">
        <x:v>6700</x:v>
      </x:c>
      <x:c r="O8" s="12" t="n">
        <x:v>-33091</x:v>
      </x:c>
    </x:row>
    <x:row r="9">
      <x:c r="A9" s="1" t="str">
        <x:v>2027-08</x:v>
      </x:c>
      <x:c r="B9" s="1" t="n">
        <x:v>48</x:v>
      </x:c>
      <x:c r="C9" s="1" t="n">
        <x:v>0</x:v>
      </x:c>
      <x:c r="D9" s="12" t="n">
        <x:v>0</x:v>
      </x:c>
      <x:c r="E9" s="12" t="n">
        <x:v>5925</x:v>
      </x:c>
      <x:c r="F9" s="12" t="n">
        <x:v>40510</x:v>
      </x:c>
      <x:c r="G9" s="1" t="n">
        <x:v>1</x:v>
      </x:c>
      <x:c r="H9" s="12" t="n">
        <x:v>1500</x:v>
      </x:c>
      <x:c r="I9" s="12" t="n">
        <x:v>0</x:v>
      </x:c>
      <x:c r="J9" s="12" t="n">
        <x:v>40855</x:v>
      </x:c>
      <x:c r="K9" s="12" t="n">
        <x:v>-34930</x:v>
      </x:c>
      <x:c r="L9" s="12" t="n">
        <x:v>150000</x:v>
      </x:c>
      <x:c r="M9" s="1" t="str"/>
      <x:c r="N9" s="12" t="n">
        <x:v>7500</x:v>
      </x:c>
      <x:c r="O9" s="12" t="n">
        <x:v>-33010</x:v>
      </x:c>
    </x:row>
    <x:row r="10">
      <x:c r="A10" s="1" t="str">
        <x:v>2027-09</x:v>
      </x:c>
      <x:c r="B10" s="1" t="n">
        <x:v>54</x:v>
      </x:c>
      <x:c r="C10" s="1" t="n">
        <x:v>0</x:v>
      </x:c>
      <x:c r="D10" s="12" t="n">
        <x:v>0</x:v>
      </x:c>
      <x:c r="E10" s="12" t="n">
        <x:v>6525</x:v>
      </x:c>
      <x:c r="F10" s="12" t="n">
        <x:v>44774</x:v>
      </x:c>
      <x:c r="G10" s="1" t="n">
        <x:v>1</x:v>
      </x:c>
      <x:c r="H10" s="12" t="n">
        <x:v>1500</x:v>
      </x:c>
      <x:c r="I10" s="12" t="n">
        <x:v>0</x:v>
      </x:c>
      <x:c r="J10" s="12" t="n">
        <x:v>44939</x:v>
      </x:c>
      <x:c r="K10" s="12" t="n">
        <x:v>-38414</x:v>
      </x:c>
      <x:c r="L10" s="12" t="n">
        <x:v>150000</x:v>
      </x:c>
      <x:c r="M10" s="1" t="str"/>
      <x:c r="N10" s="12" t="n">
        <x:v>8300</x:v>
      </x:c>
      <x:c r="O10" s="12" t="n">
        <x:v>-36474</x:v>
      </x:c>
    </x:row>
    <x:row r="11">
      <x:c r="A11" s="1" t="str">
        <x:v>2027-10</x:v>
      </x:c>
      <x:c r="B11" s="1" t="n">
        <x:v>64</x:v>
      </x:c>
      <x:c r="C11" s="1" t="n">
        <x:v>0</x:v>
      </x:c>
      <x:c r="D11" s="12" t="n">
        <x:v>0</x:v>
      </x:c>
      <x:c r="E11" s="12" t="n">
        <x:v>7900</x:v>
      </x:c>
      <x:c r="F11" s="12" t="n">
        <x:v>59704</x:v>
      </x:c>
      <x:c r="G11" s="1" t="n">
        <x:v>1</x:v>
      </x:c>
      <x:c r="H11" s="12" t="n">
        <x:v>1500</x:v>
      </x:c>
      <x:c r="I11" s="12" t="n">
        <x:v>0</x:v>
      </x:c>
      <x:c r="J11" s="12" t="n">
        <x:v>45914</x:v>
      </x:c>
      <x:c r="K11" s="12" t="n">
        <x:v>-38014</x:v>
      </x:c>
      <x:c r="L11" s="12" t="n">
        <x:v>151045</x:v>
      </x:c>
      <x:c r="M11" s="1" t="str"/>
      <x:c r="N11" s="12" t="n">
        <x:v>35000</x:v>
      </x:c>
      <x:c r="O11" s="12" t="n">
        <x:v>-24704</x:v>
      </x:c>
    </x:row>
    <x:row r="12">
      <x:c r="A12" s="1" t="str">
        <x:v>2027-11</x:v>
      </x:c>
      <x:c r="B12" s="1" t="n">
        <x:v>76</x:v>
      </x:c>
      <x:c r="C12" s="1" t="n">
        <x:v>0</x:v>
      </x:c>
      <x:c r="D12" s="12" t="n">
        <x:v>0</x:v>
      </x:c>
      <x:c r="E12" s="12" t="n">
        <x:v>9475</x:v>
      </x:c>
      <x:c r="F12" s="12" t="n">
        <x:v>50949</x:v>
      </x:c>
      <x:c r="G12" s="1" t="n">
        <x:v>1</x:v>
      </x:c>
      <x:c r="H12" s="12" t="n">
        <x:v>1500</x:v>
      </x:c>
      <x:c r="I12" s="12" t="n">
        <x:v>0</x:v>
      </x:c>
      <x:c r="J12" s="12" t="n">
        <x:v>50614</x:v>
      </x:c>
      <x:c r="K12" s="12" t="n">
        <x:v>-41139</x:v>
      </x:c>
      <x:c r="L12" s="12" t="n">
        <x:v>184398</x:v>
      </x:c>
      <x:c r="M12" s="1" t="str"/>
      <x:c r="N12" s="12" t="n">
        <x:v>12000</x:v>
      </x:c>
      <x:c r="O12" s="12" t="n">
        <x:v>-38949</x:v>
      </x:c>
    </x:row>
    <x:row r="13">
      <x:c r="A13" s="1" t="str">
        <x:v>2027-12</x:v>
      </x:c>
      <x:c r="B13" s="1" t="n">
        <x:v>80</x:v>
      </x:c>
      <x:c r="C13" s="1" t="n">
        <x:v>0</x:v>
      </x:c>
      <x:c r="D13" s="12" t="n">
        <x:v>0</x:v>
      </x:c>
      <x:c r="E13" s="12" t="n">
        <x:v>9875</x:v>
      </x:c>
      <x:c r="F13" s="12" t="n">
        <x:v>54942</x:v>
      </x:c>
      <x:c r="G13" s="1" t="n">
        <x:v>1</x:v>
      </x:c>
      <x:c r="H13" s="12" t="n">
        <x:v>1500</x:v>
      </x:c>
      <x:c r="I13" s="12" t="n">
        <x:v>0</x:v>
      </x:c>
      <x:c r="J13" s="12" t="n">
        <x:v>54517</x:v>
      </x:c>
      <x:c r="K13" s="12" t="n">
        <x:v>-44642</x:v>
      </x:c>
      <x:c r="L13" s="12" t="n">
        <x:v>204253</x:v>
      </x:c>
      <x:c r="M13" s="1" t="str"/>
      <x:c r="N13" s="12" t="n">
        <x:v>12500</x:v>
      </x:c>
      <x:c r="O13" s="12" t="n">
        <x:v>-42442</x:v>
      </x:c>
    </x:row>
    <x:row r="14">
      <x:c r="A14" s="1" t="str">
        <x:v>2028-01</x:v>
      </x:c>
      <x:c r="B14" s="1" t="n">
        <x:v>80</x:v>
      </x:c>
      <x:c r="C14" s="1" t="n">
        <x:v>0</x:v>
      </x:c>
      <x:c r="D14" s="12" t="n">
        <x:v>25000</x:v>
      </x:c>
      <x:c r="E14" s="12" t="n">
        <x:v>36375</x:v>
      </x:c>
      <x:c r="F14" s="12" t="n">
        <x:v>64542</x:v>
      </x:c>
      <x:c r="G14" s="1" t="n">
        <x:v>2</x:v>
      </x:c>
      <x:c r="H14" s="12" t="n">
        <x:v>3000</x:v>
      </x:c>
      <x:c r="I14" s="12" t="n">
        <x:v>0</x:v>
      </x:c>
      <x:c r="J14" s="12" t="n">
        <x:v>79267</x:v>
      </x:c>
      <x:c r="K14" s="12" t="n">
        <x:v>-42892</x:v>
      </x:c>
      <x:c r="L14" s="12" t="n">
        <x:v>221360</x:v>
      </x:c>
      <x:c r="M14" s="1" t="str"/>
      <x:c r="N14" s="12" t="n">
        <x:v>14500</x:v>
      </x:c>
      <x:c r="O14" s="12" t="n">
        <x:v>-50042</x:v>
      </x:c>
    </x:row>
    <x:row r="15">
      <x:c r="A15" s="1" t="str">
        <x:v>2028-02</x:v>
      </x:c>
      <x:c r="B15" s="1" t="n">
        <x:v>87</x:v>
      </x:c>
      <x:c r="C15" s="1" t="n">
        <x:v>1</x:v>
      </x:c>
      <x:c r="D15" s="12" t="n">
        <x:v>0</x:v>
      </x:c>
      <x:c r="E15" s="12" t="n">
        <x:v>12950</x:v>
      </x:c>
      <x:c r="F15" s="12" t="n">
        <x:v>69699</x:v>
      </x:c>
      <x:c r="G15" s="1" t="n">
        <x:v>2</x:v>
      </x:c>
      <x:c r="H15" s="12" t="n">
        <x:v>3000</x:v>
      </x:c>
      <x:c r="I15" s="12" t="n">
        <x:v>0</x:v>
      </x:c>
      <x:c r="J15" s="12" t="n">
        <x:v>70469</x:v>
      </x:c>
      <x:c r="K15" s="12" t="n">
        <x:v>-57519</x:v>
      </x:c>
      <x:c r="L15" s="12" t="n">
        <x:v>218310</x:v>
      </x:c>
      <x:c r="M15" s="1" t="str"/>
      <x:c r="N15" s="12" t="n">
        <x:v>16400</x:v>
      </x:c>
      <x:c r="O15" s="12" t="n">
        <x:v>-53299</x:v>
      </x:c>
    </x:row>
    <x:row r="16">
      <x:c r="A16" s="1" t="str">
        <x:v>2028-03</x:v>
      </x:c>
      <x:c r="B16" s="1" t="n">
        <x:v>94</x:v>
      </x:c>
      <x:c r="C16" s="1" t="n">
        <x:v>2</x:v>
      </x:c>
      <x:c r="D16" s="12" t="n">
        <x:v>0</x:v>
      </x:c>
      <x:c r="E16" s="12" t="n">
        <x:v>14525</x:v>
      </x:c>
      <x:c r="F16" s="12" t="n">
        <x:v>71059</x:v>
      </x:c>
      <x:c r="G16" s="1" t="n">
        <x:v>2</x:v>
      </x:c>
      <x:c r="H16" s="12" t="n">
        <x:v>3000</x:v>
      </x:c>
      <x:c r="I16" s="12" t="n">
        <x:v>0</x:v>
      </x:c>
      <x:c r="J16" s="12" t="n">
        <x:v>71624</x:v>
      </x:c>
      <x:c r="K16" s="12" t="n">
        <x:v>-57099</x:v>
      </x:c>
      <x:c r="L16" s="12" t="n">
        <x:v>275288</x:v>
      </x:c>
      <x:c r="M16" s="1" t="str"/>
      <x:c r="N16" s="12" t="n">
        <x:v>18300</x:v>
      </x:c>
      <x:c r="O16" s="12" t="n">
        <x:v>-52759</x:v>
      </x:c>
    </x:row>
    <x:row r="17">
      <x:c r="A17" s="1" t="str">
        <x:v>2028-04</x:v>
      </x:c>
      <x:c r="B17" s="1" t="n">
        <x:v>102</x:v>
      </x:c>
      <x:c r="C17" s="1" t="n">
        <x:v>2</x:v>
      </x:c>
      <x:c r="D17" s="12" t="n">
        <x:v>0</x:v>
      </x:c>
      <x:c r="E17" s="12" t="n">
        <x:v>15700</x:v>
      </x:c>
      <x:c r="F17" s="12" t="n">
        <x:v>131217</x:v>
      </x:c>
      <x:c r="G17" s="1" t="n">
        <x:v>2</x:v>
      </x:c>
      <x:c r="H17" s="12" t="n">
        <x:v>3000</x:v>
      </x:c>
      <x:c r="I17" s="12" t="n">
        <x:v>0</x:v>
      </x:c>
      <x:c r="J17" s="12" t="n">
        <x:v>76217</x:v>
      </x:c>
      <x:c r="K17" s="12" t="n">
        <x:v>-60517</x:v>
      </x:c>
      <x:c r="L17" s="12" t="n">
        <x:v>285538</x:v>
      </x:c>
      <x:c r="M17" s="1" t="str"/>
      <x:c r="N17" s="12" t="n">
        <x:v>120200</x:v>
      </x:c>
      <x:c r="O17" s="12" t="n">
        <x:v>-11017</x:v>
      </x:c>
    </x:row>
    <x:row r="18">
      <x:c r="A18" s="1" t="str">
        <x:v>2028-05</x:v>
      </x:c>
      <x:c r="B18" s="1" t="n">
        <x:v>109</x:v>
      </x:c>
      <x:c r="C18" s="1" t="n">
        <x:v>3</x:v>
      </x:c>
      <x:c r="D18" s="12" t="n">
        <x:v>0</x:v>
      </x:c>
      <x:c r="E18" s="12" t="n">
        <x:v>17650</x:v>
      </x:c>
      <x:c r="F18" s="12" t="n">
        <x:v>77677</x:v>
      </x:c>
      <x:c r="G18" s="1" t="n">
        <x:v>2</x:v>
      </x:c>
      <x:c r="H18" s="12" t="n">
        <x:v>3000</x:v>
      </x:c>
      <x:c r="I18" s="12" t="n">
        <x:v>50000</x:v>
      </x:c>
      <x:c r="J18" s="12" t="n">
        <x:v>127447</x:v>
      </x:c>
      <x:c r="K18" s="12" t="n">
        <x:v>-109797</x:v>
      </x:c>
      <x:c r="L18" s="12" t="n">
        <x:v>347440</x:v>
      </x:c>
      <x:c r="M18" s="1" t="str">
        <x:v>US legal launch delay</x:v>
      </x:c>
      <x:c r="N18" s="12" t="n">
        <x:v>22600</x:v>
      </x:c>
      <x:c r="O18" s="12" t="n">
        <x:v>-55077</x:v>
      </x:c>
    </x:row>
    <x:row r="19">
      <x:c r="A19" s="1" t="str">
        <x:v>2028-06</x:v>
      </x:c>
      <x:c r="B19" s="1" t="n">
        <x:v>116</x:v>
      </x:c>
      <x:c r="C19" s="1" t="n">
        <x:v>3</x:v>
      </x:c>
      <x:c r="D19" s="12" t="n">
        <x:v>0</x:v>
      </x:c>
      <x:c r="E19" s="12" t="n">
        <x:v>18350</x:v>
      </x:c>
      <x:c r="F19" s="12" t="n">
        <x:v>82284</x:v>
      </x:c>
      <x:c r="G19" s="1" t="n">
        <x:v>2</x:v>
      </x:c>
      <x:c r="H19" s="12" t="n">
        <x:v>3000</x:v>
      </x:c>
      <x:c r="I19" s="12" t="n">
        <x:v>0</x:v>
      </x:c>
      <x:c r="J19" s="12" t="n">
        <x:v>81874</x:v>
      </x:c>
      <x:c r="K19" s="12" t="n">
        <x:v>-63524</x:v>
      </x:c>
      <x:c r="L19" s="12" t="n">
        <x:v>308140</x:v>
      </x:c>
      <x:c r="M19" s="1" t="str"/>
      <x:c r="N19" s="12" t="n">
        <x:v>23500</x:v>
      </x:c>
      <x:c r="O19" s="12" t="n">
        <x:v>-58784</x:v>
      </x:c>
    </x:row>
    <x:row r="20">
      <x:c r="A20" s="1" t="str">
        <x:v>2028-07</x:v>
      </x:c>
      <x:c r="B20" s="1" t="n">
        <x:v>124</x:v>
      </x:c>
      <x:c r="C20" s="1" t="n">
        <x:v>4</x:v>
      </x:c>
      <x:c r="D20" s="12" t="n">
        <x:v>100000</x:v>
      </x:c>
      <x:c r="E20" s="12" t="n">
        <x:v>120025</x:v>
      </x:c>
      <x:c r="F20" s="12" t="n">
        <x:v>83734</x:v>
      </x:c>
      <x:c r="G20" s="1" t="n">
        <x:v>2</x:v>
      </x:c>
      <x:c r="H20" s="12" t="n">
        <x:v>3000</x:v>
      </x:c>
      <x:c r="I20" s="12" t="n">
        <x:v>0</x:v>
      </x:c>
      <x:c r="J20" s="12" t="n">
        <x:v>138119</x:v>
      </x:c>
      <x:c r="K20" s="12" t="n">
        <x:v>-18094</x:v>
      </x:c>
      <x:c r="L20" s="12" t="n">
        <x:v>315566</x:v>
      </x:c>
      <x:c r="M20" s="1" t="str"/>
      <x:c r="N20" s="12" t="n">
        <x:v>25500</x:v>
      </x:c>
      <x:c r="O20" s="12" t="n">
        <x:v>-58234</x:v>
      </x:c>
    </x:row>
    <x:row r="21">
      <x:c r="A21" s="1" t="str">
        <x:v>2028-08</x:v>
      </x:c>
      <x:c r="B21" s="1" t="n">
        <x:v>131</x:v>
      </x:c>
      <x:c r="C21" s="1" t="n">
        <x:v>5</x:v>
      </x:c>
      <x:c r="D21" s="12" t="n">
        <x:v>0</x:v>
      </x:c>
      <x:c r="E21" s="12" t="n">
        <x:v>21975</x:v>
      </x:c>
      <x:c r="F21" s="12" t="n">
        <x:v>143992</x:v>
      </x:c>
      <x:c r="G21" s="1" t="n">
        <x:v>2</x:v>
      </x:c>
      <x:c r="H21" s="12" t="n">
        <x:v>3000</x:v>
      </x:c>
      <x:c r="I21" s="12" t="n">
        <x:v>0</x:v>
      </x:c>
      <x:c r="J21" s="12" t="n">
        <x:v>88147</x:v>
      </x:c>
      <x:c r="K21" s="12" t="n">
        <x:v>-66172</x:v>
      </x:c>
      <x:c r="L21" s="12" t="n">
        <x:v>271340</x:v>
      </x:c>
      <x:c r="M21" s="1" t="str"/>
      <x:c r="N21" s="12" t="n">
        <x:v>127900</x:v>
      </x:c>
      <x:c r="O21" s="12" t="n">
        <x:v>-16092</x:v>
      </x:c>
    </x:row>
    <x:row r="22">
      <x:c r="A22" s="1" t="str">
        <x:v>2028-09</x:v>
      </x:c>
      <x:c r="B22" s="1" t="n">
        <x:v>138</x:v>
      </x:c>
      <x:c r="C22" s="1" t="n">
        <x:v>6</x:v>
      </x:c>
      <x:c r="D22" s="12" t="n">
        <x:v>0</x:v>
      </x:c>
      <x:c r="E22" s="12" t="n">
        <x:v>23550</x:v>
      </x:c>
      <x:c r="F22" s="12" t="n">
        <x:v>90350</x:v>
      </x:c>
      <x:c r="G22" s="1" t="n">
        <x:v>2</x:v>
      </x:c>
      <x:c r="H22" s="12" t="n">
        <x:v>3000</x:v>
      </x:c>
      <x:c r="I22" s="12" t="n">
        <x:v>0</x:v>
      </x:c>
      <x:c r="J22" s="12" t="n">
        <x:v>89300</x:v>
      </x:c>
      <x:c r="K22" s="12" t="n">
        <x:v>-65750</x:v>
      </x:c>
      <x:c r="L22" s="12" t="n">
        <x:v>337488</x:v>
      </x:c>
      <x:c r="M22" s="1" t="str"/>
      <x:c r="N22" s="12" t="n">
        <x:v>29800</x:v>
      </x:c>
      <x:c r="O22" s="12" t="n">
        <x:v>-60550</x:v>
      </x:c>
    </x:row>
    <x:row r="23">
      <x:c r="A23" s="1" t="str">
        <x:v>2028-10</x:v>
      </x:c>
      <x:c r="B23" s="1" t="n">
        <x:v>146</x:v>
      </x:c>
      <x:c r="C23" s="1" t="n">
        <x:v>6</x:v>
      </x:c>
      <x:c r="D23" s="12" t="n">
        <x:v>0</x:v>
      </x:c>
      <x:c r="E23" s="12" t="n">
        <x:v>24725</x:v>
      </x:c>
      <x:c r="F23" s="12" t="n">
        <x:v>95508</x:v>
      </x:c>
      <x:c r="G23" s="1" t="n">
        <x:v>2</x:v>
      </x:c>
      <x:c r="H23" s="12" t="n">
        <x:v>3000</x:v>
      </x:c>
      <x:c r="I23" s="12" t="n">
        <x:v>0</x:v>
      </x:c>
      <x:c r="J23" s="12" t="n">
        <x:v>93893</x:v>
      </x:c>
      <x:c r="K23" s="12" t="n">
        <x:v>-69168</x:v>
      </x:c>
      <x:c r="L23" s="12" t="n">
        <x:v>351986</x:v>
      </x:c>
      <x:c r="M23" s="1" t="str"/>
      <x:c r="N23" s="12" t="n">
        <x:v>31700</x:v>
      </x:c>
      <x:c r="O23" s="12" t="n">
        <x:v>-63808</x:v>
      </x:c>
    </x:row>
    <x:row r="24">
      <x:c r="A24" s="1" t="str">
        <x:v>2028-11</x:v>
      </x:c>
      <x:c r="B24" s="1" t="n">
        <x:v>153</x:v>
      </x:c>
      <x:c r="C24" s="1" t="n">
        <x:v>8</x:v>
      </x:c>
      <x:c r="D24" s="12" t="n">
        <x:v>100000</x:v>
      </x:c>
      <x:c r="E24" s="12" t="n">
        <x:v>126800</x:v>
      </x:c>
      <x:c r="F24" s="12" t="n">
        <x:v>101115</x:v>
      </x:c>
      <x:c r="G24" s="1" t="n">
        <x:v>2</x:v>
      </x:c>
      <x:c r="H24" s="12" t="n">
        <x:v>3000</x:v>
      </x:c>
      <x:c r="I24" s="12" t="n">
        <x:v>0</x:v>
      </x:c>
      <x:c r="J24" s="12" t="n">
        <x:v>154295</x:v>
      </x:c>
      <x:c r="K24" s="12" t="n">
        <x:v>-27495</x:v>
      </x:c>
      <x:c r="L24" s="12" t="n">
        <x:v>380184</x:v>
      </x:c>
      <x:c r="M24" s="1" t="str"/>
      <x:c r="N24" s="12" t="n">
        <x:v>34100</x:v>
      </x:c>
      <x:c r="O24" s="12" t="n">
        <x:v>-67015</x:v>
      </x:c>
    </x:row>
    <x:row r="25">
      <x:c r="A25" s="1" t="str">
        <x:v>2028-12</x:v>
      </x:c>
      <x:c r="B25" s="1" t="n">
        <x:v>160</x:v>
      </x:c>
      <x:c r="C25" s="1" t="n">
        <x:v>8</x:v>
      </x:c>
      <x:c r="D25" s="12" t="n">
        <x:v>0</x:v>
      </x:c>
      <x:c r="E25" s="12" t="n">
        <x:v>27875</x:v>
      </x:c>
      <x:c r="F25" s="12" t="n">
        <x:v>160823</x:v>
      </x:c>
      <x:c r="G25" s="1" t="n">
        <x:v>2</x:v>
      </x:c>
      <x:c r="H25" s="12" t="n">
        <x:v>3000</x:v>
      </x:c>
      <x:c r="I25" s="12" t="n">
        <x:v>0</x:v>
      </x:c>
      <x:c r="J25" s="12" t="n">
        <x:v>103798</x:v>
      </x:c>
      <x:c r="K25" s="12" t="n">
        <x:v>-75923</x:v>
      </x:c>
      <x:c r="L25" s="12" t="n">
        <x:v>356225</x:v>
      </x:c>
      <x:c r="M25" s="1" t="str"/>
      <x:c r="N25" s="12" t="n">
        <x:v>135500</x:v>
      </x:c>
      <x:c r="O25" s="12" t="n">
        <x:v>-25323</x:v>
      </x:c>
    </x:row>
    <x:row r="26">
      <x:c r="A26" s="1" t="str">
        <x:v>2029-01</x:v>
      </x:c>
      <x:c r="B26" s="1" t="n">
        <x:v>160</x:v>
      </x:c>
      <x:c r="C26" s="1" t="n">
        <x:v>8</x:v>
      </x:c>
      <x:c r="D26" s="12" t="n">
        <x:v>0</x:v>
      </x:c>
      <x:c r="E26" s="12" t="n">
        <x:v>31250</x:v>
      </x:c>
      <x:c r="F26" s="12" t="n">
        <x:v>287841</x:v>
      </x:c>
      <x:c r="G26" s="1" t="n">
        <x:v>3</x:v>
      </x:c>
      <x:c r="H26" s="12" t="n">
        <x:v>4500</x:v>
      </x:c>
      <x:c r="I26" s="12" t="n">
        <x:v>0</x:v>
      </x:c>
      <x:c r="J26" s="12" t="n">
        <x:v>122091</x:v>
      </x:c>
      <x:c r="K26" s="12" t="n">
        <x:v>-90841</x:v>
      </x:c>
      <x:c r="L26" s="12" t="n">
        <x:v>446533</x:v>
      </x:c>
      <x:c r="M26" s="1" t="str"/>
      <x:c r="N26" s="12" t="n">
        <x:v>340000</x:v>
      </x:c>
      <x:c r="O26" s="12" t="n">
        <x:v>52159</x:v>
      </x:c>
    </x:row>
    <x:row r="27">
      <x:c r="A27" s="1" t="str">
        <x:v>2029-02</x:v>
      </x:c>
      <x:c r="B27" s="1" t="n">
        <x:v>171</x:v>
      </x:c>
      <x:c r="C27" s="1" t="n">
        <x:v>14</x:v>
      </x:c>
      <x:c r="D27" s="12" t="n">
        <x:v>0</x:v>
      </x:c>
      <x:c r="E27" s="12" t="n">
        <x:v>36850</x:v>
      </x:c>
      <x:c r="F27" s="12" t="n">
        <x:v>297356</x:v>
      </x:c>
      <x:c r="G27" s="1" t="n">
        <x:v>3</x:v>
      </x:c>
      <x:c r="H27" s="12" t="n">
        <x:v>4500</x:v>
      </x:c>
      <x:c r="I27" s="12" t="n">
        <x:v>0</x:v>
      </x:c>
      <x:c r="J27" s="12" t="n">
        <x:v>130336</x:v>
      </x:c>
      <x:c r="K27" s="12" t="n">
        <x:v>-93486</x:v>
      </x:c>
      <x:c r="L27" s="12" t="n">
        <x:v>641649</x:v>
      </x:c>
      <x:c r="M27" s="1" t="str"/>
      <x:c r="N27" s="12" t="n">
        <x:v>347400</x:v>
      </x:c>
      <x:c r="O27" s="12" t="n">
        <x:v>50044</x:v>
      </x:c>
    </x:row>
    <x:row r="28">
      <x:c r="A28" s="1" t="str">
        <x:v>2029-03</x:v>
      </x:c>
      <x:c r="B28" s="1" t="n">
        <x:v>182</x:v>
      </x:c>
      <x:c r="C28" s="1" t="n">
        <x:v>21</x:v>
      </x:c>
      <x:c r="D28" s="12" t="n">
        <x:v>100000</x:v>
      </x:c>
      <x:c r="E28" s="12" t="n">
        <x:v>143325</x:v>
      </x:c>
      <x:c r="F28" s="12" t="n">
        <x:v>306881</x:v>
      </x:c>
      <x:c r="G28" s="1" t="n">
        <x:v>3</x:v>
      </x:c>
      <x:c r="H28" s="12" t="n">
        <x:v>4500</x:v>
      </x:c>
      <x:c r="I28" s="12" t="n">
        <x:v>0</x:v>
      </x:c>
      <x:c r="J28" s="12" t="n">
        <x:v>194106</x:v>
      </x:c>
      <x:c r="K28" s="12" t="n">
        <x:v>-50781</x:v>
      </x:c>
      <x:c r="L28" s="12" t="n">
        <x:v>836765</x:v>
      </x:c>
      <x:c r="M28" s="1" t="str"/>
      <x:c r="N28" s="12" t="n">
        <x:v>355200</x:v>
      </x:c>
      <x:c r="O28" s="12" t="n">
        <x:v>48319</x:v>
      </x:c>
    </x:row>
    <x:row r="29">
      <x:c r="A29" s="1" t="str">
        <x:v>2029-04</x:v>
      </x:c>
      <x:c r="B29" s="1" t="n">
        <x:v>193</x:v>
      </x:c>
      <x:c r="C29" s="1" t="n">
        <x:v>28</x:v>
      </x:c>
      <x:c r="D29" s="12" t="n">
        <x:v>300000</x:v>
      </x:c>
      <x:c r="E29" s="12" t="n">
        <x:v>350175</x:v>
      </x:c>
      <x:c r="F29" s="12" t="n">
        <x:v>321302</x:v>
      </x:c>
      <x:c r="G29" s="1" t="n">
        <x:v>3</x:v>
      </x:c>
      <x:c r="H29" s="12" t="n">
        <x:v>4500</x:v>
      </x:c>
      <x:c r="I29" s="12" t="n">
        <x:v>0</x:v>
      </x:c>
      <x:c r="J29" s="12" t="n">
        <x:v>317207</x:v>
      </x:c>
      <x:c r="K29" s="12" t="n">
        <x:v>32968</x:v>
      </x:c>
      <x:c r="L29" s="12" t="n">
        <x:v>1076791</x:v>
      </x:c>
      <x:c r="M29" s="1" t="str"/>
      <x:c r="N29" s="12" t="n">
        <x:v>364100</x:v>
      </x:c>
      <x:c r="O29" s="12" t="n">
        <x:v>42798</x:v>
      </x:c>
    </x:row>
    <x:row r="30">
      <x:c r="A30" s="1" t="str">
        <x:v>2029-05</x:v>
      </x:c>
      <x:c r="B30" s="1" t="n">
        <x:v>204</x:v>
      </x:c>
      <x:c r="C30" s="1" t="n">
        <x:v>34</x:v>
      </x:c>
      <x:c r="D30" s="12" t="n">
        <x:v>300000</x:v>
      </x:c>
      <x:c r="E30" s="12" t="n">
        <x:v>355775</x:v>
      </x:c>
      <x:c r="F30" s="12" t="n">
        <x:v>330817</x:v>
      </x:c>
      <x:c r="G30" s="1" t="n">
        <x:v>3</x:v>
      </x:c>
      <x:c r="H30" s="12" t="n">
        <x:v>4500</x:v>
      </x:c>
      <x:c r="I30" s="12" t="n">
        <x:v>0</x:v>
      </x:c>
      <x:c r="J30" s="12" t="n">
        <x:v>325452</x:v>
      </x:c>
      <x:c r="K30" s="12" t="n">
        <x:v>30323</x:v>
      </x:c>
      <x:c r="L30" s="12" t="n">
        <x:v>1102126</x:v>
      </x:c>
      <x:c r="M30" s="1" t="str"/>
      <x:c r="N30" s="12" t="n">
        <x:v>371500</x:v>
      </x:c>
      <x:c r="O30" s="12" t="n">
        <x:v>40683</x:v>
      </x:c>
    </x:row>
    <x:row r="31">
      <x:c r="A31" s="1" t="str">
        <x:v>2029-06</x:v>
      </x:c>
      <x:c r="B31" s="1" t="n">
        <x:v>214</x:v>
      </x:c>
      <x:c r="C31" s="1" t="n">
        <x:v>41</x:v>
      </x:c>
      <x:c r="D31" s="12" t="n">
        <x:v>300000</x:v>
      </x:c>
      <x:c r="E31" s="12" t="n">
        <x:v>362150</x:v>
      </x:c>
      <x:c r="F31" s="12" t="n">
        <x:v>340342</x:v>
      </x:c>
      <x:c r="G31" s="1" t="n">
        <x:v>3</x:v>
      </x:c>
      <x:c r="H31" s="12" t="n">
        <x:v>4500</x:v>
      </x:c>
      <x:c r="I31" s="12" t="n">
        <x:v>100000</x:v>
      </x:c>
      <x:c r="J31" s="12" t="n">
        <x:v>434132</x:v>
      </x:c>
      <x:c r="K31" s="12" t="n">
        <x:v>-71982</x:v>
      </x:c>
      <x:c r="L31" s="12" t="n">
        <x:v>1127897</x:v>
      </x:c>
      <x:c r="M31" s="1" t="str">
        <x:v>Data remediation</x:v>
      </x:c>
      <x:c r="N31" s="12" t="n">
        <x:v>379300</x:v>
      </x:c>
      <x:c r="O31" s="12" t="n">
        <x:v>38958</x:v>
      </x:c>
    </x:row>
    <x:row r="32">
      <x:c r="A32" s="1" t="str">
        <x:v>2029-07</x:v>
      </x:c>
      <x:c r="B32" s="1" t="n">
        <x:v>226</x:v>
      </x:c>
      <x:c r="C32" s="1" t="n">
        <x:v>47</x:v>
      </x:c>
      <x:c r="D32" s="12" t="n">
        <x:v>300000</x:v>
      </x:c>
      <x:c r="E32" s="12" t="n">
        <x:v>368225</x:v>
      </x:c>
      <x:c r="F32" s="12" t="n">
        <x:v>349957</x:v>
      </x:c>
      <x:c r="G32" s="1" t="n">
        <x:v>3</x:v>
      </x:c>
      <x:c r="H32" s="12" t="n">
        <x:v>4500</x:v>
      </x:c>
      <x:c r="I32" s="12" t="n">
        <x:v>0</x:v>
      </x:c>
      <x:c r="J32" s="12" t="n">
        <x:v>342542</x:v>
      </x:c>
      <x:c r="K32" s="12" t="n">
        <x:v>25683</x:v>
      </x:c>
      <x:c r="L32" s="12" t="n">
        <x:v>1053308</x:v>
      </x:c>
      <x:c r="M32" s="1" t="str"/>
      <x:c r="N32" s="12" t="n">
        <x:v>387200</x:v>
      </x:c>
      <x:c r="O32" s="12" t="n">
        <x:v>37243</x:v>
      </x:c>
    </x:row>
    <x:row r="33">
      <x:c r="A33" s="1" t="str">
        <x:v>2029-08</x:v>
      </x:c>
      <x:c r="B33" s="1" t="n">
        <x:v>236</x:v>
      </x:c>
      <x:c r="C33" s="1" t="n">
        <x:v>54</x:v>
      </x:c>
      <x:c r="D33" s="12" t="n">
        <x:v>300000</x:v>
      </x:c>
      <x:c r="E33" s="12" t="n">
        <x:v>374600</x:v>
      </x:c>
      <x:c r="F33" s="12" t="n">
        <x:v>359483</x:v>
      </x:c>
      <x:c r="G33" s="1" t="n">
        <x:v>3</x:v>
      </x:c>
      <x:c r="H33" s="12" t="n">
        <x:v>4500</x:v>
      </x:c>
      <x:c r="I33" s="12" t="n">
        <x:v>0</x:v>
      </x:c>
      <x:c r="J33" s="12" t="n">
        <x:v>351223</x:v>
      </x:c>
      <x:c r="K33" s="12" t="n">
        <x:v>23377</x:v>
      </x:c>
      <x:c r="L33" s="12" t="n">
        <x:v>1083334</x:v>
      </x:c>
      <x:c r="M33" s="1" t="str"/>
      <x:c r="N33" s="12" t="n">
        <x:v>395000</x:v>
      </x:c>
      <x:c r="O33" s="12" t="n">
        <x:v>35517</x:v>
      </x:c>
    </x:row>
    <x:row r="34">
      <x:c r="A34" s="1" t="str">
        <x:v>2029-09</x:v>
      </x:c>
      <x:c r="B34" s="1" t="n">
        <x:v>247</x:v>
      </x:c>
      <x:c r="C34" s="1" t="n">
        <x:v>60</x:v>
      </x:c>
      <x:c r="D34" s="12" t="n">
        <x:v>300000</x:v>
      </x:c>
      <x:c r="E34" s="12" t="n">
        <x:v>380575</x:v>
      </x:c>
      <x:c r="F34" s="12" t="n">
        <x:v>369098</x:v>
      </x:c>
      <x:c r="G34" s="1" t="n">
        <x:v>3</x:v>
      </x:c>
      <x:c r="H34" s="12" t="n">
        <x:v>4500</x:v>
      </x:c>
      <x:c r="I34" s="12" t="n">
        <x:v>0</x:v>
      </x:c>
      <x:c r="J34" s="12" t="n">
        <x:v>359543</x:v>
      </x:c>
      <x:c r="K34" s="12" t="n">
        <x:v>21032</x:v>
      </x:c>
      <x:c r="L34" s="12" t="n">
        <x:v>1113451</x:v>
      </x:c>
      <x:c r="M34" s="1" t="str"/>
      <x:c r="N34" s="12" t="n">
        <x:v>402900</x:v>
      </x:c>
      <x:c r="O34" s="12" t="n">
        <x:v>33802</x:v>
      </x:c>
    </x:row>
    <x:row r="35">
      <x:c r="A35" s="1" t="str">
        <x:v>2029-10</x:v>
      </x:c>
      <x:c r="B35" s="1" t="n">
        <x:v>258</x:v>
      </x:c>
      <x:c r="C35" s="1" t="n">
        <x:v>67</x:v>
      </x:c>
      <x:c r="D35" s="12" t="n">
        <x:v>300000</x:v>
      </x:c>
      <x:c r="E35" s="12" t="n">
        <x:v>387050</x:v>
      </x:c>
      <x:c r="F35" s="12" t="n">
        <x:v>383418</x:v>
      </x:c>
      <x:c r="G35" s="1" t="n">
        <x:v>3</x:v>
      </x:c>
      <x:c r="H35" s="12" t="n">
        <x:v>4500</x:v>
      </x:c>
      <x:c r="I35" s="12" t="n">
        <x:v>0</x:v>
      </x:c>
      <x:c r="J35" s="12" t="n">
        <x:v>372568</x:v>
      </x:c>
      <x:c r="K35" s="12" t="n">
        <x:v>14482</x:v>
      </x:c>
      <x:c r="L35" s="12" t="n">
        <x:v>1143568</x:v>
      </x:c>
      <x:c r="M35" s="1" t="str"/>
      <x:c r="N35" s="12" t="n">
        <x:v>411300</x:v>
      </x:c>
      <x:c r="O35" s="12" t="n">
        <x:v>27882</x:v>
      </x:c>
    </x:row>
    <x:row r="36">
      <x:c r="A36" s="1" t="str">
        <x:v>2029-11</x:v>
      </x:c>
      <x:c r="B36" s="1" t="n">
        <x:v>269</x:v>
      </x:c>
      <x:c r="C36" s="1" t="n">
        <x:v>74</x:v>
      </x:c>
      <x:c r="D36" s="12" t="n">
        <x:v>300000</x:v>
      </x:c>
      <x:c r="E36" s="12" t="n">
        <x:v>393525</x:v>
      </x:c>
      <x:c r="F36" s="12" t="n">
        <x:v>227945</x:v>
      </x:c>
      <x:c r="G36" s="1" t="n">
        <x:v>3</x:v>
      </x:c>
      <x:c r="H36" s="12" t="n">
        <x:v>4500</x:v>
      </x:c>
      <x:c r="I36" s="12" t="n">
        <x:v>0</x:v>
      </x:c>
      <x:c r="J36" s="12" t="n">
        <x:v>381340</x:v>
      </x:c>
      <x:c r="K36" s="12" t="n">
        <x:v>12185</x:v>
      </x:c>
      <x:c r="L36" s="12" t="n">
        <x:v>1200592</x:v>
      </x:c>
      <x:c r="M36" s="1" t="str"/>
      <x:c r="N36" s="12" t="n">
        <x:v>119100</x:v>
      </x:c>
      <x:c r="O36" s="12" t="n">
        <x:v>-108845</x:v>
      </x:c>
    </x:row>
    <x:row r="37">
      <x:c r="A37" s="1" t="str">
        <x:v>2029-12</x:v>
      </x:c>
      <x:c r="B37" s="1" t="n">
        <x:v>280</x:v>
      </x:c>
      <x:c r="C37" s="1" t="n">
        <x:v>80</x:v>
      </x:c>
      <x:c r="D37" s="12" t="n">
        <x:v>300000</x:v>
      </x:c>
      <x:c r="E37" s="12" t="n">
        <x:v>399500</x:v>
      </x:c>
      <x:c r="F37" s="12" t="n">
        <x:v>237560</x:v>
      </x:c>
      <x:c r="G37" s="1" t="n">
        <x:v>3</x:v>
      </x:c>
      <x:c r="H37" s="12" t="n">
        <x:v>4500</x:v>
      </x:c>
      <x:c r="I37" s="12" t="n">
        <x:v>0</x:v>
      </x:c>
      <x:c r="J37" s="12" t="n">
        <x:v>389660</x:v>
      </x:c>
      <x:c r="K37" s="12" t="n">
        <x:v>9840</x:v>
      </x:c>
      <x:c r="L37" s="12" t="n">
        <x:v>1105066</x:v>
      </x:c>
      <x:c r="M37" s="1" t="str"/>
      <x:c r="N37" s="12" t="n">
        <x:v>127000</x:v>
      </x:c>
      <x:c r="O37" s="12" t="n">
        <x:v>-110560</x:v>
      </x:c>
    </x:row>
    <x:row r="38">
      <x:c r="A38" s="1" t="str">
        <x:v>2030-01</x:v>
      </x:c>
      <x:c r="B38" s="1" t="n">
        <x:v>280</x:v>
      </x:c>
      <x:c r="C38" s="1" t="n">
        <x:v>80</x:v>
      </x:c>
      <x:c r="D38" s="12" t="n">
        <x:v>300000</x:v>
      </x:c>
      <x:c r="E38" s="12" t="n">
        <x:v>441500</x:v>
      </x:c>
      <x:c r="F38" s="12" t="n">
        <x:v>828792</x:v>
      </x:c>
      <x:c r="G38" s="1" t="n">
        <x:v>4</x:v>
      </x:c>
      <x:c r="H38" s="12" t="n">
        <x:v>6000</x:v>
      </x:c>
      <x:c r="I38" s="12" t="n">
        <x:v>0</x:v>
      </x:c>
      <x:c r="J38" s="12" t="n">
        <x:v>429592</x:v>
      </x:c>
      <x:c r="K38" s="12" t="n">
        <x:v>11908</x:v>
      </x:c>
      <x:c r="L38" s="12" t="n">
        <x:v>1017591</x:v>
      </x:c>
      <x:c r="M38" s="1" t="str"/>
      <x:c r="N38" s="12" t="n">
        <x:v>1183000</x:v>
      </x:c>
      <x:c r="O38" s="12" t="n">
        <x:v>354208</x:v>
      </x:c>
    </x:row>
    <x:row r="39">
      <x:c r="A39" s="1" t="str">
        <x:v>2030-02</x:v>
      </x:c>
      <x:c r="B39" s="1" t="n">
        <x:v>298</x:v>
      </x:c>
      <x:c r="C39" s="1" t="n">
        <x:v>98</x:v>
      </x:c>
      <x:c r="D39" s="12" t="n">
        <x:v>0</x:v>
      </x:c>
      <x:c r="E39" s="12" t="n">
        <x:v>162800</x:v>
      </x:c>
      <x:c r="F39" s="12" t="n">
        <x:v>853414</x:v>
      </x:c>
      <x:c r="G39" s="1" t="n">
        <x:v>4</x:v>
      </x:c>
      <x:c r="H39" s="12" t="n">
        <x:v>6000</x:v>
      </x:c>
      <x:c r="I39" s="12" t="n">
        <x:v>0</x:v>
      </x:c>
      <x:c r="J39" s="12" t="n">
        <x:v>285814</x:v>
      </x:c>
      <x:c r="K39" s="12" t="n">
        <x:v>-123014</x:v>
      </x:c>
      <x:c r="L39" s="12" t="n">
        <x:v>1461406</x:v>
      </x:c>
      <x:c r="M39" s="1" t="str"/>
      <x:c r="N39" s="12" t="n">
        <x:v>1210800</x:v>
      </x:c>
      <x:c r="O39" s="12" t="n">
        <x:v>357386</x:v>
      </x:c>
    </x:row>
    <x:row r="40">
      <x:c r="A40" s="1" t="str">
        <x:v>2030-03</x:v>
      </x:c>
      <x:c r="B40" s="1" t="n">
        <x:v>316</x:v>
      </x:c>
      <x:c r="C40" s="1" t="n">
        <x:v>116</x:v>
      </x:c>
      <x:c r="D40" s="12" t="n">
        <x:v>0</x:v>
      </x:c>
      <x:c r="E40" s="12" t="n">
        <x:v>183350</x:v>
      </x:c>
      <x:c r="F40" s="12" t="n">
        <x:v>872595</x:v>
      </x:c>
      <x:c r="G40" s="1" t="n">
        <x:v>4</x:v>
      </x:c>
      <x:c r="H40" s="12" t="n">
        <x:v>6000</x:v>
      </x:c>
      <x:c r="I40" s="12" t="n">
        <x:v>0</x:v>
      </x:c>
      <x:c r="J40" s="12" t="n">
        <x:v>302185</x:v>
      </x:c>
      <x:c r="K40" s="12" t="n">
        <x:v>-118835</x:v>
      </x:c>
      <x:c r="L40" s="12" t="n">
        <x:v>2070761</x:v>
      </x:c>
      <x:c r="M40" s="1" t="str"/>
      <x:c r="N40" s="12" t="n">
        <x:v>1237000</x:v>
      </x:c>
      <x:c r="O40" s="12" t="n">
        <x:v>364405</x:v>
      </x:c>
    </x:row>
    <x:row r="41">
      <x:c r="A41" s="1" t="str">
        <x:v>2030-04</x:v>
      </x:c>
      <x:c r="B41" s="1" t="n">
        <x:v>334</x:v>
      </x:c>
      <x:c r="C41" s="1" t="n">
        <x:v>134</x:v>
      </x:c>
      <x:c r="D41" s="12" t="n">
        <x:v>1000000</x:v>
      </x:c>
      <x:c r="E41" s="12" t="n">
        <x:v>1204650</x:v>
      </x:c>
      <x:c r="F41" s="12" t="n">
        <x:v>897217</x:v>
      </x:c>
      <x:c r="G41" s="1" t="n">
        <x:v>4</x:v>
      </x:c>
      <x:c r="H41" s="12" t="n">
        <x:v>6000</x:v>
      </x:c>
      <x:c r="I41" s="12" t="n">
        <x:v>0</x:v>
      </x:c>
      <x:c r="J41" s="12" t="n">
        <x:v>873407</x:v>
      </x:c>
      <x:c r="K41" s="12" t="n">
        <x:v>331243</x:v>
      </x:c>
      <x:c r="L41" s="12" t="n">
        <x:v>2680191</x:v>
      </x:c>
      <x:c r="M41" s="1" t="str"/>
      <x:c r="N41" s="12" t="n">
        <x:v>1264800</x:v>
      </x:c>
      <x:c r="O41" s="12" t="n">
        <x:v>367583</x:v>
      </x:c>
    </x:row>
    <x:row r="42">
      <x:c r="A42" s="1" t="str">
        <x:v>2030-05</x:v>
      </x:c>
      <x:c r="B42" s="1" t="n">
        <x:v>353</x:v>
      </x:c>
      <x:c r="C42" s="1" t="n">
        <x:v>153</x:v>
      </x:c>
      <x:c r="D42" s="12" t="n">
        <x:v>1000000</x:v>
      </x:c>
      <x:c r="E42" s="12" t="n">
        <x:v>1226550</x:v>
      </x:c>
      <x:c r="F42" s="12" t="n">
        <x:v>921839</x:v>
      </x:c>
      <x:c r="G42" s="1" t="n">
        <x:v>4</x:v>
      </x:c>
      <x:c r="H42" s="12" t="n">
        <x:v>6000</x:v>
      </x:c>
      <x:c r="I42" s="12" t="n">
        <x:v>0</x:v>
      </x:c>
      <x:c r="J42" s="12" t="n">
        <x:v>895169</x:v>
      </x:c>
      <x:c r="K42" s="12" t="n">
        <x:v>331381</x:v>
      </x:c>
      <x:c r="L42" s="12" t="n">
        <x:v>2989545</x:v>
      </x:c>
      <x:c r="M42" s="1" t="str"/>
      <x:c r="N42" s="12" t="n">
        <x:v>1292600</x:v>
      </x:c>
      <x:c r="O42" s="12" t="n">
        <x:v>370761</x:v>
      </x:c>
    </x:row>
    <x:row r="43">
      <x:c r="A43" s="1" t="str">
        <x:v>2030-06</x:v>
      </x:c>
      <x:c r="B43" s="1" t="n">
        <x:v>371</x:v>
      </x:c>
      <x:c r="C43" s="1" t="n">
        <x:v>171</x:v>
      </x:c>
      <x:c r="D43" s="12" t="n">
        <x:v>1000000</x:v>
      </x:c>
      <x:c r="E43" s="12" t="n">
        <x:v>1247475</x:v>
      </x:c>
      <x:c r="F43" s="12" t="n">
        <x:v>941660</x:v>
      </x:c>
      <x:c r="G43" s="1" t="n">
        <x:v>4</x:v>
      </x:c>
      <x:c r="H43" s="12" t="n">
        <x:v>6000</x:v>
      </x:c>
      <x:c r="I43" s="12" t="n">
        <x:v>0</x:v>
      </x:c>
      <x:c r="J43" s="12" t="n">
        <x:v>911615</x:v>
      </x:c>
      <x:c r="K43" s="12" t="n">
        <x:v>335860</x:v>
      </x:c>
      <x:c r="L43" s="12" t="n">
        <x:v>3043658</x:v>
      </x:c>
      <x:c r="M43" s="1" t="str"/>
      <x:c r="N43" s="12" t="n">
        <x:v>1319900</x:v>
      </x:c>
      <x:c r="O43" s="12" t="n">
        <x:v>378240</x:v>
      </x:c>
    </x:row>
    <x:row r="44">
      <x:c r="A44" s="1" t="str">
        <x:v>2030-07</x:v>
      </x:c>
      <x:c r="B44" s="1" t="n">
        <x:v>389</x:v>
      </x:c>
      <x:c r="C44" s="1" t="n">
        <x:v>189</x:v>
      </x:c>
      <x:c r="D44" s="12" t="n">
        <x:v>1000000</x:v>
      </x:c>
      <x:c r="E44" s="12" t="n">
        <x:v>1268400</x:v>
      </x:c>
      <x:c r="F44" s="12" t="n">
        <x:v>965641</x:v>
      </x:c>
      <x:c r="G44" s="1" t="n">
        <x:v>4</x:v>
      </x:c>
      <x:c r="H44" s="12" t="n">
        <x:v>6000</x:v>
      </x:c>
      <x:c r="I44" s="12" t="n">
        <x:v>250000</x:v>
      </x:c>
      <x:c r="J44" s="12" t="n">
        <x:v>1182761</x:v>
      </x:c>
      <x:c r="K44" s="12" t="n">
        <x:v>85639</x:v>
      </x:c>
      <x:c r="L44" s="12" t="n">
        <x:v>3103010</x:v>
      </x:c>
      <x:c r="M44" s="1" t="str">
        <x:v>Infrastructure incident</x:v>
      </x:c>
      <x:c r="N44" s="12" t="n">
        <x:v>1346600</x:v>
      </x:c>
      <x:c r="O44" s="12" t="n">
        <x:v>380959</x:v>
      </x:c>
    </x:row>
    <x:row r="45">
      <x:c r="A45" s="1" t="str">
        <x:v>2030-08</x:v>
      </x:c>
      <x:c r="B45" s="1" t="n">
        <x:v>407</x:v>
      </x:c>
      <x:c r="C45" s="1" t="n">
        <x:v>207</x:v>
      </x:c>
      <x:c r="D45" s="12" t="n">
        <x:v>1000000</x:v>
      </x:c>
      <x:c r="E45" s="12" t="n">
        <x:v>1289700</x:v>
      </x:c>
      <x:c r="F45" s="12" t="n">
        <x:v>985562</x:v>
      </x:c>
      <x:c r="G45" s="1" t="n">
        <x:v>4</x:v>
      </x:c>
      <x:c r="H45" s="12" t="n">
        <x:v>6000</x:v>
      </x:c>
      <x:c r="I45" s="12" t="n">
        <x:v>0</x:v>
      </x:c>
      <x:c r="J45" s="12" t="n">
        <x:v>949282</x:v>
      </x:c>
      <x:c r="K45" s="12" t="n">
        <x:v>340418</x:v>
      </x:c>
      <x:c r="L45" s="12" t="n">
        <x:v>2912439</x:v>
      </x:c>
      <x:c r="M45" s="1" t="str"/>
      <x:c r="N45" s="12" t="n">
        <x:v>1374400</x:v>
      </x:c>
      <x:c r="O45" s="12" t="n">
        <x:v>388838</x:v>
      </x:c>
    </x:row>
    <x:row r="46">
      <x:c r="A46" s="1" t="str">
        <x:v>2030-09</x:v>
      </x:c>
      <x:c r="B46" s="1" t="n">
        <x:v>426</x:v>
      </x:c>
      <x:c r="C46" s="1" t="n">
        <x:v>226</x:v>
      </x:c>
      <x:c r="D46" s="12" t="n">
        <x:v>1000000</x:v>
      </x:c>
      <x:c r="E46" s="12" t="n">
        <x:v>1311225</x:v>
      </x:c>
      <x:c r="F46" s="12" t="n">
        <x:v>1010082</x:v>
      </x:c>
      <x:c r="G46" s="1" t="n">
        <x:v>4</x:v>
      </x:c>
      <x:c r="H46" s="12" t="n">
        <x:v>6000</x:v>
      </x:c>
      <x:c r="I46" s="12" t="n">
        <x:v>0</x:v>
      </x:c>
      <x:c r="J46" s="12" t="n">
        <x:v>970967</x:v>
      </x:c>
      <x:c r="K46" s="12" t="n">
        <x:v>340258</x:v>
      </x:c>
      <x:c r="L46" s="12" t="n">
        <x:v>2971793</x:v>
      </x:c>
      <x:c r="M46" s="1" t="str"/>
      <x:c r="N46" s="12" t="n">
        <x:v>1401700</x:v>
      </x:c>
      <x:c r="O46" s="12" t="n">
        <x:v>391618</x:v>
      </x:c>
    </x:row>
    <x:row r="47">
      <x:c r="A47" s="1" t="str">
        <x:v>2030-10</x:v>
      </x:c>
      <x:c r="B47" s="1" t="n">
        <x:v>444</x:v>
      </x:c>
      <x:c r="C47" s="1" t="n">
        <x:v>244</x:v>
      </x:c>
      <x:c r="D47" s="12" t="n">
        <x:v>1000000</x:v>
      </x:c>
      <x:c r="E47" s="12" t="n">
        <x:v>1332525</x:v>
      </x:c>
      <x:c r="F47" s="12" t="n">
        <x:v>1034705</x:v>
      </x:c>
      <x:c r="G47" s="1" t="n">
        <x:v>4</x:v>
      </x:c>
      <x:c r="H47" s="12" t="n">
        <x:v>6000</x:v>
      </x:c>
      <x:c r="I47" s="12" t="n">
        <x:v>0</x:v>
      </x:c>
      <x:c r="J47" s="12" t="n">
        <x:v>992190</x:v>
      </x:c>
      <x:c r="K47" s="12" t="n">
        <x:v>340335</x:v>
      </x:c>
      <x:c r="L47" s="12" t="n">
        <x:v>3030608</x:v>
      </x:c>
      <x:c r="M47" s="1" t="str"/>
      <x:c r="N47" s="12" t="n">
        <x:v>1429500</x:v>
      </x:c>
      <x:c r="O47" s="12" t="n">
        <x:v>394795</x:v>
      </x:c>
    </x:row>
    <x:row r="48">
      <x:c r="A48" s="1" t="str">
        <x:v>2030-11</x:v>
      </x:c>
      <x:c r="B48" s="1" t="n">
        <x:v>462</x:v>
      </x:c>
      <x:c r="C48" s="1" t="n">
        <x:v>262</x:v>
      </x:c>
      <x:c r="D48" s="12" t="n">
        <x:v>1000000</x:v>
      </x:c>
      <x:c r="E48" s="12" t="n">
        <x:v>1353450</x:v>
      </x:c>
      <x:c r="F48" s="12" t="n">
        <x:v>778986</x:v>
      </x:c>
      <x:c r="G48" s="1" t="n">
        <x:v>4</x:v>
      </x:c>
      <x:c r="H48" s="12" t="n">
        <x:v>6000</x:v>
      </x:c>
      <x:c r="I48" s="12" t="n">
        <x:v>0</x:v>
      </x:c>
      <x:c r="J48" s="12" t="n">
        <x:v>1008636</x:v>
      </x:c>
      <x:c r="K48" s="12" t="n">
        <x:v>344814</x:v>
      </x:c>
      <x:c r="L48" s="12" t="n">
        <x:v>3129897</x:v>
      </x:c>
      <x:c r="M48" s="1" t="str"/>
      <x:c r="N48" s="12" t="n">
        <x:v>956200</x:v>
      </x:c>
      <x:c r="O48" s="12" t="n">
        <x:v>177214</x:v>
      </x:c>
    </x:row>
    <x:row r="49">
      <x:c r="A49" s="1" t="str">
        <x:v>2030-12</x:v>
      </x:c>
      <x:c r="B49" s="1" t="n">
        <x:v>480</x:v>
      </x:c>
      <x:c r="C49" s="1" t="n">
        <x:v>280</x:v>
      </x:c>
      <x:c r="D49" s="12" t="n">
        <x:v>1000000</x:v>
      </x:c>
      <x:c r="E49" s="12" t="n">
        <x:v>1374375</x:v>
      </x:c>
      <x:c r="F49" s="12" t="n">
        <x:v>803507</x:v>
      </x:c>
      <x:c r="G49" s="1" t="n">
        <x:v>4</x:v>
      </x:c>
      <x:c r="H49" s="12" t="n">
        <x:v>6000</x:v>
      </x:c>
      <x:c r="I49" s="12" t="n">
        <x:v>0</x:v>
      </x:c>
      <x:c r="J49" s="12" t="n">
        <x:v>1029782</x:v>
      </x:c>
      <x:c r="K49" s="12" t="n">
        <x:v>344593</x:v>
      </x:c>
      <x:c r="L49" s="12" t="n">
        <x:v>2976990</x:v>
      </x:c>
      <x:c r="M49" s="1" t="str"/>
      <x:c r="N49" s="12" t="n">
        <x:v>983500</x:v>
      </x:c>
      <x:c r="O49" s="12" t="n">
        <x:v>179993</x:v>
      </x:c>
    </x:row>
    <x:row r="50">
      <x:c r="A50" s="1" t="str">
        <x:v>2031-01</x:v>
      </x:c>
      <x:c r="B50" s="1" t="n">
        <x:v>480</x:v>
      </x:c>
      <x:c r="C50" s="1" t="n">
        <x:v>280</x:v>
      </x:c>
      <x:c r="D50" s="12" t="n">
        <x:v>1000000</x:v>
      </x:c>
      <x:c r="E50" s="12" t="n">
        <x:v>1370250</x:v>
      </x:c>
      <x:c r="F50" s="12" t="n">
        <x:v>2236929</x:v>
      </x:c>
      <x:c r="G50" s="1" t="n">
        <x:v>6</x:v>
      </x:c>
      <x:c r="H50" s="12" t="n">
        <x:v>9000</x:v>
      </x:c>
      <x:c r="I50" s="12" t="n">
        <x:v>0</x:v>
      </x:c>
      <x:c r="J50" s="12" t="n">
        <x:v>1091479</x:v>
      </x:c>
      <x:c r="K50" s="12" t="n">
        <x:v>278771</x:v>
      </x:c>
      <x:c r="L50" s="12" t="n">
        <x:v>2847682</x:v>
      </x:c>
      <x:c r="M50" s="1" t="str"/>
      <x:c r="N50" s="12" t="n">
        <x:v>3478000</x:v>
      </x:c>
      <x:c r="O50" s="12" t="n">
        <x:v>1241071</x:v>
      </x:c>
    </x:row>
    <x:row r="51">
      <x:c r="A51" s="1" t="str">
        <x:v>2031-02</x:v>
      </x:c>
      <x:c r="B51" s="1" t="n">
        <x:v>509</x:v>
      </x:c>
      <x:c r="C51" s="1" t="n">
        <x:v>327</x:v>
      </x:c>
      <x:c r="D51" s="12" t="n">
        <x:v>500000</x:v>
      </x:c>
      <x:c r="E51" s="12" t="n">
        <x:v>919900</x:v>
      </x:c>
      <x:c r="F51" s="12" t="n">
        <x:v>2283759</x:v>
      </x:c>
      <x:c r="G51" s="1" t="n">
        <x:v>6</x:v>
      </x:c>
      <x:c r="H51" s="12" t="n">
        <x:v>9000</x:v>
      </x:c>
      <x:c r="I51" s="12" t="n">
        <x:v>0</x:v>
      </x:c>
      <x:c r="J51" s="12" t="n">
        <x:v>855729</x:v>
      </x:c>
      <x:c r="K51" s="12" t="n">
        <x:v>64171</x:v>
      </x:c>
      <x:c r="L51" s="12" t="n">
        <x:v>4071452</x:v>
      </x:c>
      <x:c r="M51" s="1" t="str"/>
      <x:c r="N51" s="12" t="n">
        <x:v>3542100</x:v>
      </x:c>
      <x:c r="O51" s="12" t="n">
        <x:v>1258341</x:v>
      </x:c>
    </x:row>
    <x:row r="52">
      <x:c r="A52" s="1" t="str">
        <x:v>2031-03</x:v>
      </x:c>
      <x:c r="B52" s="1" t="n">
        <x:v>538</x:v>
      </x:c>
      <x:c r="C52" s="1" t="n">
        <x:v>374</x:v>
      </x:c>
      <x:c r="D52" s="12" t="n">
        <x:v>500000</x:v>
      </x:c>
      <x:c r="E52" s="12" t="n">
        <x:v>969925</x:v>
      </x:c>
      <x:c r="F52" s="12" t="n">
        <x:v>2336199</x:v>
      </x:c>
      <x:c r="G52" s="1" t="n">
        <x:v>6</x:v>
      </x:c>
      <x:c r="H52" s="12" t="n">
        <x:v>9000</x:v>
      </x:c>
      <x:c r="I52" s="12" t="n">
        <x:v>0</x:v>
      </x:c>
      <x:c r="J52" s="12" t="n">
        <x:v>900474</x:v>
      </x:c>
      <x:c r="K52" s="12" t="n">
        <x:v>69451</x:v>
      </x:c>
      <x:c r="L52" s="12" t="n">
        <x:v>5575719</x:v>
      </x:c>
      <x:c r="M52" s="1" t="str"/>
      <x:c r="N52" s="12" t="n">
        <x:v>3606800</x:v>
      </x:c>
      <x:c r="O52" s="12" t="n">
        <x:v>1270601</x:v>
      </x:c>
    </x:row>
    <x:row r="53">
      <x:c r="A53" s="1" t="str">
        <x:v>2031-04</x:v>
      </x:c>
      <x:c r="B53" s="1" t="n">
        <x:v>567</x:v>
      </x:c>
      <x:c r="C53" s="1" t="n">
        <x:v>422</x:v>
      </x:c>
      <x:c r="D53" s="12" t="n">
        <x:v>3000000</x:v>
      </x:c>
      <x:c r="E53" s="12" t="n">
        <x:v>3520450</x:v>
      </x:c>
      <x:c r="F53" s="12" t="n">
        <x:v>2383129</x:v>
      </x:c>
      <x:c r="G53" s="1" t="n">
        <x:v>6</x:v>
      </x:c>
      <x:c r="H53" s="12" t="n">
        <x:v>9000</x:v>
      </x:c>
      <x:c r="I53" s="12" t="n">
        <x:v>0</x:v>
      </x:c>
      <x:c r="J53" s="12" t="n">
        <x:v>2315249</x:v>
      </x:c>
      <x:c r="K53" s="12" t="n">
        <x:v>1205201</x:v>
      </x:c>
      <x:c r="L53" s="12" t="n">
        <x:v>7074656</x:v>
      </x:c>
      <x:c r="M53" s="1" t="str"/>
      <x:c r="N53" s="12" t="n">
        <x:v>3671400</x:v>
      </x:c>
      <x:c r="O53" s="12" t="n">
        <x:v>1288271</x:v>
      </x:c>
    </x:row>
    <x:row r="54">
      <x:c r="A54" s="1" t="str">
        <x:v>2031-05</x:v>
      </x:c>
      <x:c r="B54" s="1" t="n">
        <x:v>596</x:v>
      </x:c>
      <x:c r="C54" s="1" t="n">
        <x:v>469</x:v>
      </x:c>
      <x:c r="D54" s="12" t="n">
        <x:v>3000000</x:v>
      </x:c>
      <x:c r="E54" s="12" t="n">
        <x:v>3570475</x:v>
      </x:c>
      <x:c r="F54" s="12" t="n">
        <x:v>2022981</x:v>
      </x:c>
      <x:c r="G54" s="1" t="n">
        <x:v>6</x:v>
      </x:c>
      <x:c r="H54" s="12" t="n">
        <x:v>9000</x:v>
      </x:c>
      <x:c r="I54" s="12" t="n">
        <x:v>0</x:v>
      </x:c>
      <x:c r="J54" s="12" t="n">
        <x:v>2359996</x:v>
      </x:c>
      <x:c r="K54" s="12" t="n">
        <x:v>1210479</x:v>
      </x:c>
      <x:c r="L54" s="12" t="n">
        <x:v>7203923</x:v>
      </x:c>
      <x:c r="M54" s="1" t="str"/>
      <x:c r="N54" s="12" t="n">
        <x:v>2986000</x:v>
      </x:c>
      <x:c r="O54" s="12" t="n">
        <x:v>963019</x:v>
      </x:c>
    </x:row>
    <x:row r="55">
      <x:c r="A55" s="1" t="str">
        <x:v>2031-06</x:v>
      </x:c>
      <x:c r="B55" s="1" t="n">
        <x:v>626</x:v>
      </x:c>
      <x:c r="C55" s="1" t="n">
        <x:v>516</x:v>
      </x:c>
      <x:c r="D55" s="12" t="n">
        <x:v>3000000</x:v>
      </x:c>
      <x:c r="E55" s="12" t="n">
        <x:v>3620600</x:v>
      </x:c>
      <x:c r="F55" s="12" t="n">
        <x:v>2070001</x:v>
      </x:c>
      <x:c r="G55" s="1" t="n">
        <x:v>6</x:v>
      </x:c>
      <x:c r="H55" s="12" t="n">
        <x:v>9000</x:v>
      </x:c>
      <x:c r="I55" s="12" t="n">
        <x:v>0</x:v>
      </x:c>
      <x:c r="J55" s="12" t="n">
        <x:v>2399411</x:v>
      </x:c>
      <x:c r="K55" s="12" t="n">
        <x:v>1221189</x:v>
      </x:c>
      <x:c r="L55" s="12" t="n">
        <x:v>6915433</x:v>
      </x:c>
      <x:c r="M55" s="1" t="str"/>
      <x:c r="N55" s="12" t="n">
        <x:v>3050700</x:v>
      </x:c>
      <x:c r="O55" s="12" t="n">
        <x:v>980699</x:v>
      </x:c>
    </x:row>
    <x:row r="56">
      <x:c r="A56" s="1" t="str">
        <x:v>2031-07</x:v>
      </x:c>
      <x:c r="B56" s="1" t="n">
        <x:v>654</x:v>
      </x:c>
      <x:c r="C56" s="1" t="n">
        <x:v>564</x:v>
      </x:c>
      <x:c r="D56" s="12" t="n">
        <x:v>3000000</x:v>
      </x:c>
      <x:c r="E56" s="12" t="n">
        <x:v>3671025</x:v>
      </x:c>
      <x:c r="F56" s="12" t="n">
        <x:v>2122801</x:v>
      </x:c>
      <x:c r="G56" s="1" t="n">
        <x:v>6</x:v>
      </x:c>
      <x:c r="H56" s="12" t="n">
        <x:v>9000</x:v>
      </x:c>
      <x:c r="I56" s="12" t="n">
        <x:v>0</x:v>
      </x:c>
      <x:c r="J56" s="12" t="n">
        <x:v>2444516</x:v>
      </x:c>
      <x:c r="K56" s="12" t="n">
        <x:v>1226509</x:v>
      </x:c>
      <x:c r="L56" s="12" t="n">
        <x:v>7132197</x:v>
      </x:c>
      <x:c r="M56" s="1" t="str"/>
      <x:c r="N56" s="12" t="n">
        <x:v>3115800</x:v>
      </x:c>
      <x:c r="O56" s="12" t="n">
        <x:v>992999</x:v>
      </x:c>
    </x:row>
    <x:row r="57">
      <x:c r="A57" s="1" t="str">
        <x:v>2031-08</x:v>
      </x:c>
      <x:c r="B57" s="1" t="n">
        <x:v>684</x:v>
      </x:c>
      <x:c r="C57" s="1" t="n">
        <x:v>611</x:v>
      </x:c>
      <x:c r="D57" s="12" t="n">
        <x:v>2250000</x:v>
      </x:c>
      <x:c r="E57" s="12" t="n">
        <x:v>2971525</x:v>
      </x:c>
      <x:c r="F57" s="12" t="n">
        <x:v>2169921</x:v>
      </x:c>
      <x:c r="G57" s="1" t="n">
        <x:v>6</x:v>
      </x:c>
      <x:c r="H57" s="12" t="n">
        <x:v>9000</x:v>
      </x:c>
      <x:c r="I57" s="12" t="n">
        <x:v>0</x:v>
      </x:c>
      <x:c r="J57" s="12" t="n">
        <x:v>2071506</x:v>
      </x:c>
      <x:c r="K57" s="12" t="n">
        <x:v>900019</x:v>
      </x:c>
      <x:c r="L57" s="12" t="n">
        <x:v>6843631</x:v>
      </x:c>
      <x:c r="M57" s="1" t="str"/>
      <x:c r="N57" s="12" t="n">
        <x:v>3181000</x:v>
      </x:c>
      <x:c r="O57" s="12" t="n">
        <x:v>1011079</x:v>
      </x:c>
    </x:row>
    <x:row r="58">
      <x:c r="A58" s="1" t="str">
        <x:v>2031-09</x:v>
      </x:c>
      <x:c r="B58" s="1" t="n">
        <x:v>713</x:v>
      </x:c>
      <x:c r="C58" s="1" t="n">
        <x:v>658</x:v>
      </x:c>
      <x:c r="D58" s="12" t="n">
        <x:v>2250000</x:v>
      </x:c>
      <x:c r="E58" s="12" t="n">
        <x:v>3021175</x:v>
      </x:c>
      <x:c r="F58" s="12" t="n">
        <x:v>2222170</x:v>
      </x:c>
      <x:c r="G58" s="1" t="n">
        <x:v>6</x:v>
      </x:c>
      <x:c r="H58" s="12" t="n">
        <x:v>9000</x:v>
      </x:c>
      <x:c r="I58" s="12" t="n">
        <x:v>500000</x:v>
      </x:c>
      <x:c r="J58" s="12" t="n">
        <x:v>2616175</x:v>
      </x:c>
      <x:c r="K58" s="12" t="n">
        <x:v>405000</x:v>
      </x:c>
      <x:c r="L58" s="12" t="n">
        <x:v>6972820</x:v>
      </x:c>
      <x:c r="M58" s="1" t="str">
        <x:v>Multimarket compliance response</x:v>
      </x:c>
      <x:c r="N58" s="12" t="n">
        <x:v>3245100</x:v>
      </x:c>
      <x:c r="O58" s="12" t="n">
        <x:v>1022930</x:v>
      </x:c>
    </x:row>
    <x:row r="59">
      <x:c r="A59" s="1" t="str">
        <x:v>2031-10</x:v>
      </x:c>
      <x:c r="B59" s="1" t="n">
        <x:v>742</x:v>
      </x:c>
      <x:c r="C59" s="1" t="n">
        <x:v>706</x:v>
      </x:c>
      <x:c r="D59" s="12" t="n">
        <x:v>2250000</x:v>
      </x:c>
      <x:c r="E59" s="12" t="n">
        <x:v>3071700</x:v>
      </x:c>
      <x:c r="F59" s="12" t="n">
        <x:v>2269100</x:v>
      </x:c>
      <x:c r="G59" s="1" t="n">
        <x:v>6</x:v>
      </x:c>
      <x:c r="H59" s="12" t="n">
        <x:v>9000</x:v>
      </x:c>
      <x:c r="I59" s="12" t="n">
        <x:v>0</x:v>
      </x:c>
      <x:c r="J59" s="12" t="n">
        <x:v>2155950</x:v>
      </x:c>
      <x:c r="K59" s="12" t="n">
        <x:v>915750</x:v>
      </x:c>
      <x:c r="L59" s="12" t="n">
        <x:v>6596665</x:v>
      </x:c>
      <x:c r="M59" s="1" t="str"/>
      <x:c r="N59" s="12" t="n">
        <x:v>3309700</x:v>
      </x:c>
      <x:c r="O59" s="12" t="n">
        <x:v>1040600</x:v>
      </x:c>
    </x:row>
    <x:row r="60">
      <x:c r="A60" s="1" t="str">
        <x:v>2031-11</x:v>
      </x:c>
      <x:c r="B60" s="1" t="n">
        <x:v>771</x:v>
      </x:c>
      <x:c r="C60" s="1" t="n">
        <x:v>753</x:v>
      </x:c>
      <x:c r="D60" s="12" t="n">
        <x:v>2250000</x:v>
      </x:c>
      <x:c r="E60" s="12" t="n">
        <x:v>3121725</x:v>
      </x:c>
      <x:c r="F60" s="12" t="n">
        <x:v>2321540</x:v>
      </x:c>
      <x:c r="G60" s="1" t="n">
        <x:v>6</x:v>
      </x:c>
      <x:c r="H60" s="12" t="n">
        <x:v>9000</x:v>
      </x:c>
      <x:c r="I60" s="12" t="n">
        <x:v>0</x:v>
      </x:c>
      <x:c r="J60" s="12" t="n">
        <x:v>2200695</x:v>
      </x:c>
      <x:c r="K60" s="12" t="n">
        <x:v>921030</x:v>
      </x:c>
      <x:c r="L60" s="12" t="n">
        <x:v>6680735</x:v>
      </x:c>
      <x:c r="M60" s="1" t="str"/>
      <x:c r="N60" s="12" t="n">
        <x:v>3374400</x:v>
      </x:c>
      <x:c r="O60" s="12" t="n">
        <x:v>1052860</x:v>
      </x:c>
    </x:row>
    <x:row r="61">
      <x:c r="A61" s="1" t="str">
        <x:v>2031-12</x:v>
      </x:c>
      <x:c r="B61" s="1" t="n">
        <x:v>800</x:v>
      </x:c>
      <x:c r="C61" s="1" t="n">
        <x:v>800</x:v>
      </x:c>
      <x:c r="D61" s="12" t="n">
        <x:v>2250000</x:v>
      </x:c>
      <x:c r="E61" s="12" t="n">
        <x:v>3171750</x:v>
      </x:c>
      <x:c r="F61" s="12" t="n">
        <x:v>2368470</x:v>
      </x:c>
      <x:c r="G61" s="1" t="n">
        <x:v>6</x:v>
      </x:c>
      <x:c r="H61" s="12" t="n">
        <x:v>9000</x:v>
      </x:c>
      <x:c r="I61" s="12" t="n">
        <x:v>0</x:v>
      </x:c>
      <x:c r="J61" s="12" t="n">
        <x:v>2240020</x:v>
      </x:c>
      <x:c r="K61" s="12" t="n">
        <x:v>931730</x:v>
      </x:c>
      <x:c r="L61" s="12" t="n">
        <x:v>6720060</x:v>
      </x:c>
      <x:c r="M61" s="1" t="str"/>
      <x:c r="N61" s="12" t="n">
        <x:v>3439000</x:v>
      </x:c>
      <x:c r="O61" s="12" t="n">
        <x:v>1070530</x:v>
      </x:c>
    </x:row>
    <x:row r="62">
      <x:c r="A62" s="1"/>
      <x:c r="B62" s="1"/>
      <x:c r="C62" s="1"/>
      <x:c r="D62" s="12"/>
      <x:c r="E62" s="12"/>
      <x:c r="F62" s="12"/>
      <x:c r="G62" s="1"/>
      <x:c r="H62" s="12"/>
      <x:c r="I62" s="12"/>
      <x:c r="J62" s="12"/>
      <x:c r="K62" s="12"/>
      <x:c r="L62" s="12"/>
      <x:c r="M62" s="1"/>
      <x:c r="N62" s="1"/>
      <x:c r="O62" s="1"/>
    </x:row>
    <x:row r="63">
      <x:c r="A63" s="1"/>
      <x:c r="B63" s="1"/>
      <x:c r="C63" s="1"/>
      <x:c r="D63" s="12"/>
      <x:c r="E63" s="12"/>
      <x:c r="F63" s="12"/>
      <x:c r="G63" s="1"/>
      <x:c r="H63" s="12"/>
      <x:c r="I63" s="12"/>
      <x:c r="J63" s="12"/>
      <x:c r="K63" s="12"/>
      <x:c r="L63" s="12"/>
      <x:c r="M63" s="1"/>
      <x:c r="N63" s="1"/>
      <x:c r="O63" s="1"/>
    </x:row>
    <x:row r="64">
      <x:c r="A64" s="16" t="str">
        <x:v>Year</x:v>
      </x:c>
      <x:c r="B64" s="16" t="str">
        <x:v>Base revenue</x:v>
      </x:c>
      <x:c r="C64" s="16" t="str">
        <x:v>Risk revenue</x:v>
      </x:c>
      <x:c r="D64" s="18" t="str">
        <x:v>Base expenses</x:v>
      </x:c>
      <x:c r="E64" s="18" t="str">
        <x:v>Risk expenses</x:v>
      </x:c>
      <x:c r="F64" s="18" t="str">
        <x:v>Base result</x:v>
      </x:c>
      <x:c r="G64" s="16" t="str">
        <x:v>Risk result</x:v>
      </x:c>
      <x:c r="H64" s="18" t="str">
        <x:v>Peak buffer</x:v>
      </x:c>
      <x:c r="I64" s="12"/>
      <x:c r="J64" s="12"/>
      <x:c r="K64" s="12"/>
      <x:c r="L64" s="12"/>
      <x:c r="M64" s="1"/>
      <x:c r="N64" s="1"/>
      <x:c r="O64" s="1"/>
    </x:row>
    <x:row r="65">
      <x:c r="A65" s="1" t="n">
        <x:v>2027</x:v>
      </x:c>
      <x:c r="B65" s="1" t="n">
        <x:f>SUM(N2:N13)</x:f>
        <x:v>100000</x:v>
      </x:c>
      <x:c r="C65" s="1" t="n">
        <x:f>SUM(E2:E13)</x:f>
        <x:v>59250</x:v>
      </x:c>
      <x:c r="D65" s="12" t="n">
        <x:f>SUM(F2:F13)</x:f>
        <x:v>470750</x:v>
      </x:c>
      <x:c r="E65" s="12" t="n">
        <x:f>SUM(J2:J13)</x:f>
        <x:v>483450</x:v>
      </x:c>
      <x:c r="F65" s="12" t="n">
        <x:f>SUM(O2:O13)</x:f>
        <x:v>-370750</x:v>
      </x:c>
      <x:c r="G65" s="1" t="n">
        <x:f>SUM(K2:K13)</x:f>
        <x:v>-424200</x:v>
      </x:c>
      <x:c r="H65" s="12" t="n">
        <x:f>MAX(L2:L13)</x:f>
        <x:v>204253</x:v>
      </x:c>
      <x:c r="I65" s="12"/>
      <x:c r="J65" s="12"/>
      <x:c r="K65" s="12"/>
      <x:c r="L65" s="12"/>
      <x:c r="M65" s="1"/>
      <x:c r="N65" s="1"/>
      <x:c r="O65" s="1"/>
    </x:row>
    <x:row r="66">
      <x:c r="A66" s="1" t="n">
        <x:v>2028</x:v>
      </x:c>
      <x:c r="B66" s="1" t="n">
        <x:f>SUM(N14:N25)</x:f>
        <x:v>600000</x:v>
      </x:c>
      <x:c r="C66" s="1" t="n">
        <x:f>SUM(E14:E25)</x:f>
        <x:v>460500</x:v>
      </x:c>
      <x:c r="D66" s="12" t="n">
        <x:f>SUM(F14:F25)</x:f>
        <x:v>1172000</x:v>
      </x:c>
      <x:c r="E66" s="12" t="n">
        <x:f>SUM(J14:J25)</x:f>
        <x:v>1174450</x:v>
      </x:c>
      <x:c r="F66" s="12" t="n">
        <x:f>SUM(O14:O25)</x:f>
        <x:v>-572000</x:v>
      </x:c>
      <x:c r="G66" s="1" t="n">
        <x:f>SUM(K14:K25)</x:f>
        <x:v>-713950</x:v>
      </x:c>
      <x:c r="H66" s="12" t="n">
        <x:f>MAX(L14:L25)</x:f>
        <x:v>380184</x:v>
      </x:c>
      <x:c r="I66" s="12"/>
      <x:c r="J66" s="12"/>
      <x:c r="K66" s="12"/>
      <x:c r="L66" s="12"/>
      <x:c r="M66" s="1"/>
      <x:c r="N66" s="1"/>
      <x:c r="O66" s="1"/>
    </x:row>
    <x:row r="67">
      <x:c r="A67" s="1" t="n">
        <x:v>2029</x:v>
      </x:c>
      <x:c r="B67" s="1" t="n">
        <x:f>SUM(N26:N37)</x:f>
        <x:v>4000000</x:v>
      </x:c>
      <x:c r="C67" s="1" t="n">
        <x:f>SUM(E26:E37)</x:f>
        <x:v>3583000</x:v>
      </x:c>
      <x:c r="D67" s="12" t="n">
        <x:f>SUM(F26:F37)</x:f>
        <x:v>3812000</x:v>
      </x:c>
      <x:c r="E67" s="12" t="n">
        <x:f>SUM(J26:J37)</x:f>
        <x:v>3720200</x:v>
      </x:c>
      <x:c r="F67" s="12" t="n">
        <x:f>SUM(O26:O37)</x:f>
        <x:v>188000</x:v>
      </x:c>
      <x:c r="G67" s="1" t="n">
        <x:f>SUM(K26:K37)</x:f>
        <x:v>-137200</x:v>
      </x:c>
      <x:c r="H67" s="12" t="n">
        <x:f>MAX(L26:L37)</x:f>
        <x:v>1200592</x:v>
      </x:c>
      <x:c r="I67" s="12"/>
      <x:c r="J67" s="12"/>
      <x:c r="K67" s="12"/>
      <x:c r="L67" s="12"/>
      <x:c r="M67" s="1"/>
      <x:c r="N67" s="1"/>
      <x:c r="O67" s="1"/>
    </x:row>
    <x:row r="68">
      <x:c r="A68" s="1" t="n">
        <x:v>2030</x:v>
      </x:c>
      <x:c r="B68" s="1" t="n">
        <x:f>SUM(N38:N49)</x:f>
        <x:v>15000000</x:v>
      </x:c>
      <x:c r="C68" s="1" t="n">
        <x:f>SUM(E38:E49)</x:f>
        <x:v>12396000</x:v>
      </x:c>
      <x:c r="D68" s="12" t="n">
        <x:f>SUM(F38:F49)</x:f>
        <x:v>10894000</x:v>
      </x:c>
      <x:c r="E68" s="12" t="n">
        <x:f>SUM(J38:J49)</x:f>
        <x:v>9831400</x:v>
      </x:c>
      <x:c r="F68" s="12" t="n">
        <x:f>SUM(O38:O49)</x:f>
        <x:v>4106000</x:v>
      </x:c>
      <x:c r="G68" s="1" t="n">
        <x:f>SUM(K38:K49)</x:f>
        <x:v>2564600</x:v>
      </x:c>
      <x:c r="H68" s="12" t="n">
        <x:f>MAX(L38:L49)</x:f>
        <x:v>3129897</x:v>
      </x:c>
      <x:c r="I68" s="12"/>
      <x:c r="J68" s="12"/>
      <x:c r="K68" s="12"/>
      <x:c r="L68" s="12"/>
      <x:c r="M68" s="1"/>
      <x:c r="N68" s="1"/>
      <x:c r="O68" s="1"/>
    </x:row>
    <x:row r="69">
      <x:c r="A69" s="1" t="n">
        <x:v>2031</x:v>
      </x:c>
      <x:c r="B69" s="1" t="n">
        <x:f>SUM(N50:N61)</x:f>
        <x:v>40000000</x:v>
      </x:c>
      <x:c r="C69" s="1" t="n">
        <x:f>SUM(E50:E61)</x:f>
        <x:v>33000500</x:v>
      </x:c>
      <x:c r="D69" s="12" t="n">
        <x:f>SUM(F50:F61)</x:f>
        <x:v>26807000</x:v>
      </x:c>
      <x:c r="E69" s="12" t="n">
        <x:f>SUM(J50:J61)</x:f>
        <x:v>23651200</x:v>
      </x:c>
      <x:c r="F69" s="12" t="n">
        <x:f>SUM(O50:O61)</x:f>
        <x:v>13193000</x:v>
      </x:c>
      <x:c r="G69" s="1" t="n">
        <x:f>SUM(K50:K61)</x:f>
        <x:v>9349300</x:v>
      </x:c>
      <x:c r="H69" s="12" t="n">
        <x:f>MAX(L50:L61)</x:f>
        <x:v>7203923</x:v>
      </x:c>
      <x:c r="I69" s="12"/>
      <x:c r="J69" s="12"/>
      <x:c r="K69" s="12"/>
      <x:c r="L69" s="12"/>
      <x:c r="M69" s="1"/>
      <x:c r="N69" s="1"/>
      <x:c r="O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</x:row>
    <x:row r="71">
      <x:c r="A71" s="17" t="str">
        <x:v>Assumption</x:v>
      </x:c>
      <x:c r="B71" s="17" t="str">
        <x:v>Value</x:v>
      </x:c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</x:row>
    <x:row r="72">
      <x:c r="A72" s="1" t="str">
        <x:v>Paying customer shortfall</x:v>
      </x:c>
      <x:c r="B72" s="1" t="str">
        <x:v>20% per month</x:v>
      </x:c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</x:row>
    <x:row r="73">
      <x:c r="A73" s="1" t="str">
        <x:v>Marketplace commission shortfall</x:v>
      </x:c>
      <x:c r="B73" s="1" t="str">
        <x:v>25% per month</x:v>
      </x:c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</x:row>
    <x:row r="74">
      <x:c r="A74" s="1" t="str">
        <x:v>Lab receipt delay</x:v>
      </x:c>
      <x:c r="B74" s="1" t="str">
        <x:v>3 months</x:v>
      </x:c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</x:row>
    <x:row r="75">
      <x:c r="A75" s="1" t="str">
        <x:v>On-call retainer</x:v>
      </x:c>
      <x:c r="B75" s="1" t="str">
        <x:v>$1,500 / reserved FTE-month</x:v>
      </x:c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</x:row>
    <x:row r="76">
      <x:c r="A76" s="1" t="str">
        <x:v>Cash reserve floor</x:v>
      </x:c>
      <x:c r="B76" s="1" t="str">
        <x:v>$150,000</x:v>
      </x:c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</x:row>
    <x:row r="77">
      <x:c r="A77" s="1" t="str">
        <x:v>Buffer rule</x:v>
      </x:c>
      <x:c r="B77" s="1" t="str">
        <x:v>Greater of floor or current plus next 2 risk expense months; last expense extrapolated past 2031</x:v>
      </x:c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</x:row>
  </x:sheetData>
  <x:pageMargins left="0.7" right="0.7" top="0.75" bottom="0.75" header="0.3" footer="0.3"/>
</x:worksheet>
</file>